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tudium\Desktop\Launch_Reentry_Data\Paper_LEAT\input_data\"/>
    </mc:Choice>
  </mc:AlternateContent>
  <xr:revisionPtr revIDLastSave="0" documentId="13_ncr:1_{F16707EA-4E51-4632-B829-6E8ABF38A2B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cenarios" sheetId="1" r:id="rId1"/>
    <sheet name="README - How to enter data" sheetId="2" r:id="rId2"/>
  </sheets>
  <definedNames>
    <definedName name="_xlnm._FilterDatabase" localSheetId="0" hidden="1">scenarios!$A$1:$N$1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</calcChain>
</file>

<file path=xl/sharedStrings.xml><?xml version="1.0" encoding="utf-8"?>
<sst xmlns="http://schemas.openxmlformats.org/spreadsheetml/2006/main" count="58" uniqueCount="49">
  <si>
    <t>sheet: scenarios</t>
  </si>
  <si>
    <t>scenario</t>
  </si>
  <si>
    <t>Ariane5_iss_7.5</t>
  </si>
  <si>
    <t>Choose a scenario name. It gets handled as an ID and is for naming the files.</t>
  </si>
  <si>
    <t>launch_vehicle</t>
  </si>
  <si>
    <t>Ariane-5ECA</t>
  </si>
  <si>
    <t>The exact name as in the Excel File "LV_Database"</t>
  </si>
  <si>
    <t>date</t>
  </si>
  <si>
    <t>2024-03-20T10:00:00</t>
  </si>
  <si>
    <t>Keep the same time format. Necessary for atmosphere model.</t>
  </si>
  <si>
    <t>launch_site</t>
  </si>
  <si>
    <t>GSC</t>
  </si>
  <si>
    <t>The exact name as in the Excel File "launch_sites"</t>
  </si>
  <si>
    <t>inclination</t>
  </si>
  <si>
    <t>Target inclination of orbit</t>
  </si>
  <si>
    <t>payload_mass</t>
  </si>
  <si>
    <t>Payload mass in kg</t>
  </si>
  <si>
    <t>h_gt_start</t>
  </si>
  <si>
    <t>Gravity Turn start height [m]</t>
  </si>
  <si>
    <t>h_gt_end</t>
  </si>
  <si>
    <t>Gravity Turn end height [m]</t>
  </si>
  <si>
    <t>gamma_gt_total</t>
  </si>
  <si>
    <t>Gamma [°] for Gravity Turn in total between start and end height (linear interpolation starting at 90°)</t>
  </si>
  <si>
    <t>h_fr_start</t>
  </si>
  <si>
    <t>Force Reduction start height [m]</t>
  </si>
  <si>
    <t>h_fr_end</t>
  </si>
  <si>
    <t>Force Reduction end height [m]</t>
  </si>
  <si>
    <t>force_reduced</t>
  </si>
  <si>
    <t>Force Reduction to 80%</t>
  </si>
  <si>
    <t>note</t>
  </si>
  <si>
    <t>ISS</t>
  </si>
  <si>
    <t>Will be ignored</t>
  </si>
  <si>
    <t>mass_payload</t>
  </si>
  <si>
    <t>t_fr_start</t>
  </si>
  <si>
    <t>t_fr_end</t>
  </si>
  <si>
    <t>t_startup</t>
  </si>
  <si>
    <t>2025_Starship_IFT8_gt_1</t>
  </si>
  <si>
    <t>Starship V2.0 RTLS</t>
  </si>
  <si>
    <t>2025-03-06T23:30:31</t>
  </si>
  <si>
    <t>SB-OLPA</t>
  </si>
  <si>
    <t>Falcon-9 v1.2 (Block5) ADSL</t>
  </si>
  <si>
    <t>2023-01-26T09:32:20</t>
  </si>
  <si>
    <t>CC-LC40</t>
  </si>
  <si>
    <t>Ariane 62</t>
  </si>
  <si>
    <t>2025-03-06T16:24:00</t>
  </si>
  <si>
    <t>CSG-ELA4</t>
  </si>
  <si>
    <t>2023-013_Starlink5492_gt_1</t>
  </si>
  <si>
    <t>2025_Ariane_VA263_gt_1</t>
  </si>
  <si>
    <t>azimuth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</si>
</sst>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4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3" fontId="1" fillId="0" borderId="7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64" fontId="1" fillId="0" borderId="9" xfId="0" applyNumberFormat="1" applyFont="1" applyBorder="1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0" fillId="0" borderId="1" xfId="0" applyBorder="1"/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3" borderId="0" xfId="0" applyFill="1"/>
    <xf numFmtId="2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0" fillId="4" borderId="0" xfId="0" applyFill="1"/>
  </cellXfs>
  <cellStyles count="1">
    <cellStyle name="Standard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baseColWidth="10" defaultColWidth="8.85546875" defaultRowHeight="15" x14ac:dyDescent="0.25"/>
  <cols>
    <col min="1" max="1" width="28.7109375" customWidth="1"/>
    <col min="2" max="2" width="38.7109375" customWidth="1"/>
    <col min="3" max="3" width="20.28515625" bestFit="1" customWidth="1"/>
    <col min="4" max="4" width="15.42578125" bestFit="1" customWidth="1"/>
    <col min="5" max="5" width="13" style="16" bestFit="1" customWidth="1"/>
    <col min="6" max="6" width="13.140625" style="17" bestFit="1" customWidth="1"/>
    <col min="7" max="7" width="9.5703125" style="17" bestFit="1" customWidth="1"/>
    <col min="8" max="8" width="9" style="17" bestFit="1" customWidth="1"/>
    <col min="9" max="9" width="15" style="17" bestFit="1" customWidth="1"/>
    <col min="10" max="10" width="9.42578125" style="17" customWidth="1"/>
    <col min="11" max="11" width="9.28515625" style="17" bestFit="1" customWidth="1"/>
    <col min="12" max="12" width="8.7109375" style="17" bestFit="1" customWidth="1"/>
    <col min="13" max="13" width="14.5703125" style="15" bestFit="1" customWidth="1"/>
    <col min="14" max="14" width="18.5703125" bestFit="1" customWidth="1"/>
  </cols>
  <sheetData>
    <row r="1" spans="1:14" ht="19.5" customHeight="1" x14ac:dyDescent="0.25">
      <c r="A1" s="18" t="s">
        <v>1</v>
      </c>
      <c r="B1" s="18" t="s">
        <v>4</v>
      </c>
      <c r="C1" s="18" t="s">
        <v>7</v>
      </c>
      <c r="D1" s="18" t="s">
        <v>10</v>
      </c>
      <c r="E1" s="19" t="s">
        <v>48</v>
      </c>
      <c r="F1" s="20" t="s">
        <v>32</v>
      </c>
      <c r="G1" s="20" t="s">
        <v>17</v>
      </c>
      <c r="H1" s="20" t="s">
        <v>19</v>
      </c>
      <c r="I1" s="20" t="s">
        <v>21</v>
      </c>
      <c r="J1" s="20" t="s">
        <v>35</v>
      </c>
      <c r="K1" s="20" t="s">
        <v>33</v>
      </c>
      <c r="L1" s="20" t="s">
        <v>34</v>
      </c>
      <c r="M1" s="21" t="s">
        <v>27</v>
      </c>
      <c r="N1" s="18" t="s">
        <v>29</v>
      </c>
    </row>
    <row r="2" spans="1:14" x14ac:dyDescent="0.25">
      <c r="A2" s="25" t="s">
        <v>36</v>
      </c>
      <c r="B2" s="4" t="s">
        <v>37</v>
      </c>
      <c r="C2" s="22" t="s">
        <v>38</v>
      </c>
      <c r="D2" s="22" t="s">
        <v>39</v>
      </c>
      <c r="E2" s="23">
        <v>94.822724576987596</v>
      </c>
      <c r="F2" s="1">
        <v>8000</v>
      </c>
      <c r="G2" s="17">
        <v>50</v>
      </c>
      <c r="H2" s="17">
        <f t="shared" ref="H2" si="0">G2+50</f>
        <v>100</v>
      </c>
      <c r="I2" s="24">
        <v>0.5</v>
      </c>
      <c r="J2" s="1">
        <v>4</v>
      </c>
      <c r="K2" s="1">
        <v>48</v>
      </c>
      <c r="L2" s="1">
        <v>75</v>
      </c>
      <c r="M2" s="23">
        <v>0.75</v>
      </c>
    </row>
    <row r="3" spans="1:14" x14ac:dyDescent="0.25">
      <c r="A3" t="s">
        <v>46</v>
      </c>
      <c r="B3" s="4" t="s">
        <v>40</v>
      </c>
      <c r="C3" s="22" t="s">
        <v>41</v>
      </c>
      <c r="D3" s="22" t="s">
        <v>42</v>
      </c>
      <c r="E3" s="26">
        <v>56.372756866016999</v>
      </c>
      <c r="F3" s="1">
        <v>16800</v>
      </c>
      <c r="G3" s="17">
        <v>140</v>
      </c>
      <c r="H3" s="17">
        <f>G3+50</f>
        <v>190</v>
      </c>
      <c r="I3" s="15">
        <v>1.5</v>
      </c>
      <c r="J3" s="1">
        <v>4</v>
      </c>
      <c r="K3" s="1">
        <v>53</v>
      </c>
      <c r="L3" s="1">
        <v>65</v>
      </c>
      <c r="M3" s="28">
        <v>0.6</v>
      </c>
    </row>
    <row r="4" spans="1:14" x14ac:dyDescent="0.25">
      <c r="A4" s="29" t="s">
        <v>47</v>
      </c>
      <c r="B4" s="4" t="s">
        <v>43</v>
      </c>
      <c r="C4" s="22" t="s">
        <v>44</v>
      </c>
      <c r="D4" s="22" t="s">
        <v>45</v>
      </c>
      <c r="E4" s="23">
        <v>351.95873004777098</v>
      </c>
      <c r="F4" s="1">
        <v>3700</v>
      </c>
      <c r="G4" s="17">
        <v>60</v>
      </c>
      <c r="H4" s="1">
        <f t="shared" ref="H4" si="1">G4+50</f>
        <v>110</v>
      </c>
      <c r="I4" s="15">
        <v>1.6</v>
      </c>
      <c r="J4" s="17">
        <v>0</v>
      </c>
      <c r="K4" s="1">
        <v>50</v>
      </c>
      <c r="L4" s="1">
        <v>70</v>
      </c>
      <c r="M4" s="27">
        <v>0.8</v>
      </c>
    </row>
    <row r="8" spans="1:14" x14ac:dyDescent="0.25">
      <c r="I8" s="24"/>
    </row>
  </sheetData>
  <autoFilter ref="A1:N1" xr:uid="{00000000-0001-0000-0000-000000000000}">
    <sortState xmlns:xlrd2="http://schemas.microsoft.com/office/spreadsheetml/2017/richdata2" ref="A2:N6">
      <sortCondition ref="A1"/>
    </sortState>
  </autoFilter>
  <phoneticPr fontId="3" type="noConversion"/>
  <conditionalFormatting sqref="B2:B4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H34"/>
  <sheetViews>
    <sheetView workbookViewId="0"/>
  </sheetViews>
  <sheetFormatPr baseColWidth="10" defaultColWidth="8.85546875" defaultRowHeight="15" x14ac:dyDescent="0.25"/>
  <cols>
    <col min="1" max="1" width="13.5703125" bestFit="1" customWidth="1"/>
    <col min="2" max="2" width="19.7109375" bestFit="1" customWidth="1"/>
    <col min="3" max="3" width="19.140625" style="15" bestFit="1" customWidth="1"/>
    <col min="4" max="4" width="8.28515625" bestFit="1" customWidth="1"/>
    <col min="5" max="5" width="8.7109375" bestFit="1" customWidth="1"/>
    <col min="6" max="6" width="10.42578125" bestFit="1" customWidth="1"/>
    <col min="7" max="7" width="19.85546875" bestFit="1" customWidth="1"/>
    <col min="8" max="8" width="15.140625" bestFit="1" customWidth="1"/>
  </cols>
  <sheetData>
    <row r="1" spans="2:8" ht="19.5" customHeight="1" x14ac:dyDescent="0.25">
      <c r="C1" s="1"/>
    </row>
    <row r="2" spans="2:8" ht="19.5" customHeight="1" x14ac:dyDescent="0.25">
      <c r="B2" s="2" t="s">
        <v>0</v>
      </c>
      <c r="C2" s="3"/>
      <c r="D2" s="4"/>
      <c r="E2" s="4"/>
      <c r="F2" s="4"/>
      <c r="G2" s="4"/>
      <c r="H2" s="4"/>
    </row>
    <row r="3" spans="2:8" ht="19.5" customHeight="1" x14ac:dyDescent="0.25">
      <c r="B3" s="5" t="s">
        <v>1</v>
      </c>
      <c r="C3" s="6" t="s">
        <v>2</v>
      </c>
      <c r="E3" t="s">
        <v>3</v>
      </c>
    </row>
    <row r="4" spans="2:8" ht="19.5" customHeight="1" x14ac:dyDescent="0.25">
      <c r="B4" s="5" t="s">
        <v>4</v>
      </c>
      <c r="C4" s="7" t="s">
        <v>5</v>
      </c>
      <c r="E4" t="s">
        <v>6</v>
      </c>
    </row>
    <row r="5" spans="2:8" ht="19.5" customHeight="1" x14ac:dyDescent="0.25">
      <c r="B5" s="5" t="s">
        <v>7</v>
      </c>
      <c r="C5" s="7" t="s">
        <v>8</v>
      </c>
      <c r="E5" t="s">
        <v>9</v>
      </c>
    </row>
    <row r="6" spans="2:8" ht="19.5" customHeight="1" x14ac:dyDescent="0.25">
      <c r="B6" s="5" t="s">
        <v>10</v>
      </c>
      <c r="C6" s="7" t="s">
        <v>11</v>
      </c>
      <c r="E6" t="s">
        <v>12</v>
      </c>
    </row>
    <row r="7" spans="2:8" ht="19.5" customHeight="1" x14ac:dyDescent="0.25">
      <c r="B7" s="5" t="s">
        <v>13</v>
      </c>
      <c r="C7" s="8">
        <v>51.64</v>
      </c>
      <c r="E7" t="s">
        <v>14</v>
      </c>
    </row>
    <row r="8" spans="2:8" ht="19.5" customHeight="1" x14ac:dyDescent="0.25">
      <c r="B8" s="5" t="s">
        <v>15</v>
      </c>
      <c r="C8" s="9">
        <v>10000</v>
      </c>
      <c r="E8" t="s">
        <v>16</v>
      </c>
    </row>
    <row r="9" spans="2:8" ht="19.5" customHeight="1" x14ac:dyDescent="0.25">
      <c r="B9" s="5" t="s">
        <v>17</v>
      </c>
      <c r="C9" s="9">
        <v>450</v>
      </c>
      <c r="E9" t="s">
        <v>18</v>
      </c>
    </row>
    <row r="10" spans="2:8" ht="19.5" customHeight="1" x14ac:dyDescent="0.25">
      <c r="B10" s="5" t="s">
        <v>19</v>
      </c>
      <c r="C10" s="9">
        <v>550</v>
      </c>
      <c r="E10" t="s">
        <v>20</v>
      </c>
    </row>
    <row r="11" spans="2:8" ht="19.5" customHeight="1" x14ac:dyDescent="0.25">
      <c r="B11" s="5" t="s">
        <v>21</v>
      </c>
      <c r="C11" s="9">
        <v>3</v>
      </c>
      <c r="E11" t="s">
        <v>22</v>
      </c>
    </row>
    <row r="12" spans="2:8" ht="19.5" customHeight="1" x14ac:dyDescent="0.25">
      <c r="B12" s="10" t="s">
        <v>23</v>
      </c>
      <c r="C12" s="11">
        <v>9000</v>
      </c>
      <c r="E12" t="s">
        <v>24</v>
      </c>
    </row>
    <row r="13" spans="2:8" ht="19.5" customHeight="1" x14ac:dyDescent="0.25">
      <c r="B13" s="10" t="s">
        <v>25</v>
      </c>
      <c r="C13" s="11">
        <v>13000</v>
      </c>
      <c r="E13" t="s">
        <v>26</v>
      </c>
    </row>
    <row r="14" spans="2:8" ht="19.5" customHeight="1" x14ac:dyDescent="0.25">
      <c r="B14" s="10" t="s">
        <v>27</v>
      </c>
      <c r="C14" s="12">
        <v>0.8</v>
      </c>
      <c r="E14" t="s">
        <v>28</v>
      </c>
    </row>
    <row r="15" spans="2:8" ht="19.5" customHeight="1" x14ac:dyDescent="0.25">
      <c r="B15" s="13" t="s">
        <v>29</v>
      </c>
      <c r="C15" s="14" t="s">
        <v>30</v>
      </c>
      <c r="E15" t="s">
        <v>31</v>
      </c>
    </row>
    <row r="16" spans="2:8" ht="19.5" customHeight="1" x14ac:dyDescent="0.25">
      <c r="C16" s="1"/>
    </row>
    <row r="17" spans="3:3" ht="19.5" customHeight="1" x14ac:dyDescent="0.25">
      <c r="C17" s="1"/>
    </row>
    <row r="18" spans="3:3" ht="19.5" customHeight="1" x14ac:dyDescent="0.25">
      <c r="C18" s="1"/>
    </row>
    <row r="19" spans="3:3" ht="19.5" customHeight="1" x14ac:dyDescent="0.25">
      <c r="C19" s="1"/>
    </row>
    <row r="20" spans="3:3" ht="19.149999999999999" customHeight="1" x14ac:dyDescent="0.25">
      <c r="C20" s="1"/>
    </row>
    <row r="21" spans="3:3" ht="19.149999999999999" customHeight="1" x14ac:dyDescent="0.25">
      <c r="C21" s="1"/>
    </row>
    <row r="22" spans="3:3" ht="19.5" customHeight="1" x14ac:dyDescent="0.25">
      <c r="C22" s="1"/>
    </row>
    <row r="23" spans="3:3" ht="19.5" customHeight="1" x14ac:dyDescent="0.25">
      <c r="C23" s="1"/>
    </row>
    <row r="24" spans="3:3" ht="19.5" customHeight="1" x14ac:dyDescent="0.25">
      <c r="C24" s="1"/>
    </row>
    <row r="25" spans="3:3" ht="19.5" customHeight="1" x14ac:dyDescent="0.25">
      <c r="C25" s="1"/>
    </row>
    <row r="26" spans="3:3" ht="19.5" customHeight="1" x14ac:dyDescent="0.25">
      <c r="C26" s="1"/>
    </row>
    <row r="27" spans="3:3" ht="19.5" customHeight="1" x14ac:dyDescent="0.25">
      <c r="C27" s="1"/>
    </row>
    <row r="28" spans="3:3" ht="19.5" customHeight="1" x14ac:dyDescent="0.25">
      <c r="C28" s="1"/>
    </row>
    <row r="29" spans="3:3" ht="19.5" customHeight="1" x14ac:dyDescent="0.25">
      <c r="C29" s="1"/>
    </row>
    <row r="30" spans="3:3" ht="19.5" customHeight="1" x14ac:dyDescent="0.25">
      <c r="C30" s="1"/>
    </row>
    <row r="31" spans="3:3" ht="19.5" customHeight="1" x14ac:dyDescent="0.25">
      <c r="C31" s="1"/>
    </row>
    <row r="32" spans="3:3" ht="19.5" customHeight="1" x14ac:dyDescent="0.25">
      <c r="C32" s="1"/>
    </row>
    <row r="33" spans="3:3" ht="19.5" customHeight="1" x14ac:dyDescent="0.25">
      <c r="C33" s="1"/>
    </row>
    <row r="34" spans="3:3" ht="19.5" customHeight="1" x14ac:dyDescent="0.25"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scenarios</vt:lpstr>
      <vt:lpstr>README - How to enter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Jan-Steffen Fischer</cp:lastModifiedBy>
  <dcterms:created xsi:type="dcterms:W3CDTF">2025-07-29T11:25:00Z</dcterms:created>
  <dcterms:modified xsi:type="dcterms:W3CDTF">2026-04-09T09:43:10Z</dcterms:modified>
</cp:coreProperties>
</file>