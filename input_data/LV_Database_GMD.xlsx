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tudium\Desktop\Launch_Reentry_Data\Paper_LEAT\input_data\"/>
    </mc:Choice>
  </mc:AlternateContent>
  <xr:revisionPtr revIDLastSave="0" documentId="13_ncr:1_{4B023A5A-DEEB-430B-AE22-4893466044A1}" xr6:coauthVersionLast="47" xr6:coauthVersionMax="47" xr10:uidLastSave="{00000000-0000-0000-0000-000000000000}"/>
  <bookViews>
    <workbookView xWindow="3855" yWindow="3855" windowWidth="21600" windowHeight="11295" activeTab="1" xr2:uid="{00000000-000D-0000-FFFF-FFFF00000000}"/>
  </bookViews>
  <sheets>
    <sheet name="LV_Database" sheetId="1" r:id="rId1"/>
    <sheet name="Engine" sheetId="2" r:id="rId2"/>
    <sheet name="README - How to enter data" sheetId="3" r:id="rId3"/>
  </sheets>
  <definedNames>
    <definedName name="_xlnm._FilterDatabase" localSheetId="1" hidden="1">Engine!$A$1:$J$1</definedName>
    <definedName name="_xlnm._FilterDatabase" localSheetId="0">LV_Database!$A$1:$BM$2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G7" i="1"/>
  <c r="G8" i="1"/>
  <c r="AK8" i="1"/>
  <c r="Z8" i="1"/>
  <c r="M8" i="1"/>
  <c r="AN8" i="1" s="1"/>
  <c r="AR8" i="1"/>
  <c r="AQ8" i="1"/>
  <c r="AG8" i="1"/>
  <c r="AF8" i="1"/>
  <c r="U8" i="1"/>
  <c r="V8" i="1" s="1"/>
  <c r="S8" i="1"/>
  <c r="I8" i="1"/>
  <c r="J8" i="1" s="1"/>
  <c r="U6" i="1"/>
  <c r="BS8" i="1" l="1"/>
  <c r="BO8" i="1"/>
  <c r="U7" i="1"/>
  <c r="V7" i="1" s="1"/>
  <c r="AF7" i="1"/>
  <c r="AG7" i="1" s="1"/>
  <c r="BS5" i="1" l="1"/>
  <c r="BS7" i="1"/>
  <c r="BO5" i="1"/>
  <c r="S7" i="1"/>
  <c r="I7" i="1"/>
  <c r="J7" i="1" s="1"/>
  <c r="J3" i="1"/>
  <c r="I3" i="1"/>
  <c r="BM4" i="1"/>
  <c r="AK4" i="1"/>
  <c r="Z4" i="1"/>
  <c r="S4" i="1"/>
  <c r="Q4" i="1"/>
  <c r="M4" i="1"/>
  <c r="J4" i="1"/>
  <c r="I4" i="1"/>
  <c r="G4" i="1"/>
  <c r="BO4" i="1" l="1"/>
  <c r="BR4" i="1" s="1"/>
  <c r="BS4" i="1"/>
  <c r="BP4" i="1" l="1"/>
  <c r="BQ4" i="1" s="1"/>
  <c r="Z6" i="1"/>
  <c r="V6" i="1"/>
  <c r="U5" i="1"/>
  <c r="V5" i="1" s="1"/>
  <c r="AF6" i="1"/>
  <c r="AG6" i="1" s="1"/>
  <c r="AF5" i="1"/>
  <c r="AG5" i="1" s="1"/>
  <c r="S6" i="1"/>
  <c r="Q6" i="1"/>
  <c r="AC6" i="1" s="1"/>
  <c r="M6" i="1"/>
  <c r="I6" i="1"/>
  <c r="J6" i="1" s="1"/>
  <c r="G6" i="1"/>
  <c r="BP5" i="1"/>
  <c r="BQ5" i="1" s="1"/>
  <c r="S5" i="1"/>
  <c r="I5" i="1"/>
  <c r="J5" i="1" s="1"/>
  <c r="G5" i="1"/>
  <c r="AK2" i="1"/>
  <c r="AK3" i="1"/>
  <c r="S2" i="1"/>
  <c r="M2" i="1"/>
  <c r="J2" i="1"/>
  <c r="I2" i="1"/>
  <c r="G2" i="1"/>
  <c r="B22" i="2"/>
  <c r="BS2" i="1" l="1"/>
  <c r="Q3" i="1"/>
  <c r="BO6" i="1"/>
  <c r="BS6" i="1"/>
  <c r="BR5" i="1"/>
  <c r="BO2" i="1"/>
  <c r="BP2" i="1" s="1"/>
  <c r="BQ2" i="1" s="1"/>
  <c r="D11" i="3"/>
  <c r="D10" i="3"/>
  <c r="M3" i="1"/>
  <c r="G3" i="1"/>
  <c r="BS3" i="1" l="1"/>
  <c r="BO3" i="1"/>
  <c r="BR2" i="1"/>
</calcChain>
</file>

<file path=xl/sharedStrings.xml><?xml version="1.0" encoding="utf-8"?>
<sst xmlns="http://schemas.openxmlformats.org/spreadsheetml/2006/main" count="291" uniqueCount="175">
  <si>
    <t>sheet: LV_Database</t>
  </si>
  <si>
    <t>Description:</t>
  </si>
  <si>
    <t>LV_type</t>
  </si>
  <si>
    <t>Ariane-5ECA</t>
  </si>
  <si>
    <t>Ariane-40 H10</t>
  </si>
  <si>
    <t>This launch vehicle name is referenced at the "simulation_data.xlsx" file for each scenario.</t>
  </si>
  <si>
    <t>start_with_booster</t>
  </si>
  <si>
    <t>Include a boolean if you want the "stage_1" (columns T-AD)  to start together with the engine defined as "booster" (columns H-R)</t>
  </si>
  <si>
    <t>stage1_engine</t>
  </si>
  <si>
    <t>P241_SRB</t>
  </si>
  <si>
    <t>The engine name needs to be specified in the following sheet "Engine". It is required for NASA CEA calculations. If it is left empty, the stage will be ignored.</t>
  </si>
  <si>
    <t>stage1_force_sl</t>
  </si>
  <si>
    <t>Engine force at sea level</t>
  </si>
  <si>
    <t>stage1_force_vac</t>
  </si>
  <si>
    <t>Engine force at vacuum</t>
  </si>
  <si>
    <t>stage1_fuel</t>
  </si>
  <si>
    <t>HTPB/Al/AP</t>
  </si>
  <si>
    <t>UH25/N2O4</t>
  </si>
  <si>
    <t xml:space="preserve">If there are more fuel constituents than two the order needs to be the same in the massfractions. Otherwise the oxidizer needs to be named first and fuel second. Delimiter is "/". </t>
  </si>
  <si>
    <t>Fuel name must be valid for Emissions and NASA CEA, as seen below</t>
  </si>
  <si>
    <t>stage1_fuel_temp</t>
  </si>
  <si>
    <t>293/293/293</t>
  </si>
  <si>
    <t>Define the fuel temperatures, separated by "/"</t>
  </si>
  <si>
    <t>stage1_total_propellant</t>
  </si>
  <si>
    <t>Total propellant mass is used together with the burntime to calculate the constant massflow.</t>
  </si>
  <si>
    <t>stage1_propellant_massfractions</t>
  </si>
  <si>
    <t>0.14/0.18/0.68</t>
  </si>
  <si>
    <t>The massfractions or the mass of oxidizer and fuel needs to be specified, depending on the number of fuel constituents in "stage1_fuel".</t>
  </si>
  <si>
    <t>stage1_mass_fuel</t>
  </si>
  <si>
    <t>stage1_mass_ox</t>
  </si>
  <si>
    <t>stage1_dry_mass</t>
  </si>
  <si>
    <t>Dry mass that gets seperated after burnout</t>
  </si>
  <si>
    <t>stage1_burntime</t>
  </si>
  <si>
    <t>The burntime is used together with the total propellant mass to calculate the constant massflow.</t>
  </si>
  <si>
    <t>sheet: Engine</t>
  </si>
  <si>
    <t>Keep the same format.</t>
  </si>
  <si>
    <t>Engine</t>
  </si>
  <si>
    <t>Ae/At</t>
  </si>
  <si>
    <t>p_chamber</t>
  </si>
  <si>
    <t xml:space="preserve">You can include as many engines as you like. </t>
  </si>
  <si>
    <t>Vulcain_2</t>
  </si>
  <si>
    <t>Variables to calculate the Aerodynamic Drag Coefficient</t>
  </si>
  <si>
    <t>l</t>
  </si>
  <si>
    <t>Length of rocket</t>
  </si>
  <si>
    <t>d</t>
  </si>
  <si>
    <t>Main diameter of rocket</t>
  </si>
  <si>
    <t>l_n</t>
  </si>
  <si>
    <t>Length of nose</t>
  </si>
  <si>
    <t>d_n</t>
  </si>
  <si>
    <t>Diameter of nose</t>
  </si>
  <si>
    <t>d_f</t>
  </si>
  <si>
    <t>Diameter of fairing</t>
  </si>
  <si>
    <t>A_R</t>
  </si>
  <si>
    <t>Reference cross sectional area</t>
  </si>
  <si>
    <t>Example Fuel Names</t>
  </si>
  <si>
    <t>The fuel names must be the same as in the thermo.lib of NASA CEA</t>
  </si>
  <si>
    <t>RP-1</t>
  </si>
  <si>
    <t>Full list of them at page 75 in this NASA CEA Documentary:</t>
  </si>
  <si>
    <t>O2(L)</t>
  </si>
  <si>
    <t>https://ntrs.nasa.gov/citations/19960044559</t>
  </si>
  <si>
    <t>H2(L)</t>
  </si>
  <si>
    <t>CH4</t>
  </si>
  <si>
    <t>HTPB</t>
  </si>
  <si>
    <t>Al</t>
  </si>
  <si>
    <t>AP</t>
  </si>
  <si>
    <t>engine</t>
  </si>
  <si>
    <t>d_exit</t>
  </si>
  <si>
    <t>engine_cycle</t>
  </si>
  <si>
    <t>mf_oc</t>
  </si>
  <si>
    <t>rof_oc</t>
  </si>
  <si>
    <t>Ae/At_oc</t>
  </si>
  <si>
    <t>p_chamber_oc</t>
  </si>
  <si>
    <t>note</t>
  </si>
  <si>
    <t>C</t>
  </si>
  <si>
    <t>Ariane 5 Main Stage</t>
  </si>
  <si>
    <t>Ariane 5 Solid Rocket Booster</t>
  </si>
  <si>
    <t>HM7B</t>
  </si>
  <si>
    <t>Ariane 5 Upper Stage</t>
  </si>
  <si>
    <t>RS-25</t>
  </si>
  <si>
    <t>Space Shuttle Main Engine</t>
  </si>
  <si>
    <t>OMS</t>
  </si>
  <si>
    <t>Space Shuttle Orbital Maneuvering System</t>
  </si>
  <si>
    <t>SRM</t>
  </si>
  <si>
    <t>Space Shuttle Solid Rocket Motor</t>
  </si>
  <si>
    <t>Merlin_1D_vac</t>
  </si>
  <si>
    <t>Falcon 9 Upper Stage</t>
  </si>
  <si>
    <t>Merlin_1D</t>
  </si>
  <si>
    <t>Falcon 9 Core Stage</t>
  </si>
  <si>
    <t>Gen_US</t>
  </si>
  <si>
    <t>Generic Core Stage</t>
  </si>
  <si>
    <t>Gen_OS</t>
  </si>
  <si>
    <t>Generic Upper Stage</t>
  </si>
  <si>
    <t>Gen_US_S</t>
  </si>
  <si>
    <t>Generic Solid Core/Booster Stage</t>
  </si>
  <si>
    <t>P120_SRB</t>
  </si>
  <si>
    <t>Vulcain_21</t>
  </si>
  <si>
    <t>Vinci</t>
  </si>
  <si>
    <t>booster_engine</t>
  </si>
  <si>
    <t>booster_force_sl</t>
  </si>
  <si>
    <t>booster_force_vac</t>
  </si>
  <si>
    <t>booster_fuel</t>
  </si>
  <si>
    <t>booster_fuel_temp</t>
  </si>
  <si>
    <t>booster_total_propellant</t>
  </si>
  <si>
    <t>booster_propellant_massfractions</t>
  </si>
  <si>
    <t>booster_mass_fuel</t>
  </si>
  <si>
    <t>booster_mass_ox</t>
  </si>
  <si>
    <t>booster_dry_mass</t>
  </si>
  <si>
    <t>booster_burntime</t>
  </si>
  <si>
    <t>stage2_engine</t>
  </si>
  <si>
    <t>stage2_force_sl</t>
  </si>
  <si>
    <t>stage2_force_vac</t>
  </si>
  <si>
    <t>stage2_fuel</t>
  </si>
  <si>
    <t>stage2_fuel_temp</t>
  </si>
  <si>
    <t>stage2_propellant_massfractions</t>
  </si>
  <si>
    <t>stage2_total_propellant</t>
  </si>
  <si>
    <t>stage2_mass_fuel</t>
  </si>
  <si>
    <t>stage2_mass_ox</t>
  </si>
  <si>
    <t>stage2_dry_mass</t>
  </si>
  <si>
    <t>stage2_burntime</t>
  </si>
  <si>
    <t>stage3_engine</t>
  </si>
  <si>
    <t>stage3_force_sl</t>
  </si>
  <si>
    <t>stage3_force_vac</t>
  </si>
  <si>
    <t>stage3_fuel</t>
  </si>
  <si>
    <t>stage3_fuel_temp</t>
  </si>
  <si>
    <t>stage3_propellant_massfractions</t>
  </si>
  <si>
    <t>stage3_total_propellant</t>
  </si>
  <si>
    <t>stage3_mass_fuel</t>
  </si>
  <si>
    <t>stage3_mass_ox</t>
  </si>
  <si>
    <t>stage3_dry_mass</t>
  </si>
  <si>
    <t>stage3_burntime</t>
  </si>
  <si>
    <t>stage4_engine</t>
  </si>
  <si>
    <t>stage4_force_sl</t>
  </si>
  <si>
    <t>stage4_force_vac</t>
  </si>
  <si>
    <t>stage4_fuel</t>
  </si>
  <si>
    <t>stage4_fuel_temp</t>
  </si>
  <si>
    <t>stage4_propellant_massfractions</t>
  </si>
  <si>
    <t>stage4_total_propellant</t>
  </si>
  <si>
    <t>stage4_mass_fuel</t>
  </si>
  <si>
    <t>stage4_mass_ox</t>
  </si>
  <si>
    <t>stage4_dry_mass</t>
  </si>
  <si>
    <t>stage4_burntime</t>
  </si>
  <si>
    <t>Source</t>
  </si>
  <si>
    <t>launch_mass</t>
  </si>
  <si>
    <t>HTPB/AL(cr)/NH4CLO4(I)</t>
  </si>
  <si>
    <t>298.15/298.15/298.15</t>
  </si>
  <si>
    <t>H2(L)/O2(L)</t>
  </si>
  <si>
    <t>20.27/90.17</t>
  </si>
  <si>
    <t>0.142857143/0.857142857</t>
  </si>
  <si>
    <t>RP-1/O2(L)</t>
  </si>
  <si>
    <t>298.15/90</t>
  </si>
  <si>
    <t>0.297619048/0.702380952</t>
  </si>
  <si>
    <t>CH4(L)/O2(L)</t>
  </si>
  <si>
    <t>110/90</t>
  </si>
  <si>
    <t>Raptor</t>
  </si>
  <si>
    <t>0.217391304/0.782608696</t>
  </si>
  <si>
    <t>Raptor_Vac</t>
  </si>
  <si>
    <t>0.12/0.19/0.69</t>
  </si>
  <si>
    <t>GEM_60</t>
  </si>
  <si>
    <t>Delta 4 Solid Rocket Booster</t>
  </si>
  <si>
    <t>YF-100</t>
  </si>
  <si>
    <t>YF-100K</t>
  </si>
  <si>
    <t>YF-115</t>
  </si>
  <si>
    <t>RD-843</t>
  </si>
  <si>
    <t>Falcon-9 v1.2 (Block5) Expended</t>
  </si>
  <si>
    <t>Starship V1.0</t>
  </si>
  <si>
    <t>Starship V1.0 RTLS</t>
  </si>
  <si>
    <t>Ariane 62</t>
  </si>
  <si>
    <t>Falcon-9 v1.2 (Block5) ADSL</t>
  </si>
  <si>
    <t>Starship V2</t>
  </si>
  <si>
    <t>Starship V2.0 RTLS</t>
  </si>
  <si>
    <t>TotalMass</t>
  </si>
  <si>
    <t>Payload</t>
  </si>
  <si>
    <t>Propellant Mass</t>
  </si>
  <si>
    <t>GG</t>
  </si>
  <si>
    <t>https://www.eucass.eu/doi/EUCASS2019-0639.pdf, https://www.safran-group.com/products-services/vulcain-21-hot-gas-valve-vgc-21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</si>
</sst>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2F0D9"/>
      </patternFill>
    </fill>
    <fill>
      <patternFill patternType="solid">
        <fgColor rgb="FFFBE5D6"/>
      </patternFill>
    </fill>
    <fill>
      <patternFill patternType="solid">
        <fgColor rgb="FFDEEBF7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7" fillId="0" borderId="1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3" fontId="1" fillId="0" borderId="4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3" fontId="1" fillId="0" borderId="7" xfId="0" applyNumberFormat="1" applyFont="1" applyBorder="1" applyAlignment="1">
      <alignment horizontal="left"/>
    </xf>
    <xf numFmtId="3" fontId="1" fillId="0" borderId="8" xfId="0" applyNumberFormat="1" applyFont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3" fontId="1" fillId="0" borderId="7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0" fontId="2" fillId="2" borderId="9" xfId="0" applyFont="1" applyFill="1" applyBorder="1" applyAlignment="1">
      <alignment horizontal="left"/>
    </xf>
    <xf numFmtId="4" fontId="1" fillId="0" borderId="10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0" fontId="2" fillId="0" borderId="12" xfId="0" applyFont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3" fontId="2" fillId="2" borderId="14" xfId="0" applyNumberFormat="1" applyFont="1" applyFill="1" applyBorder="1" applyAlignment="1">
      <alignment horizontal="left"/>
    </xf>
    <xf numFmtId="3" fontId="2" fillId="2" borderId="15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4" fontId="1" fillId="0" borderId="16" xfId="0" applyNumberFormat="1" applyFont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3" fontId="1" fillId="0" borderId="17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4" fillId="0" borderId="1" xfId="0" applyNumberFormat="1" applyFont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3" fontId="0" fillId="0" borderId="0" xfId="0" applyNumberFormat="1"/>
    <xf numFmtId="4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3" fontId="2" fillId="2" borderId="13" xfId="0" applyNumberFormat="1" applyFont="1" applyFill="1" applyBorder="1" applyAlignment="1">
      <alignment horizontal="left"/>
    </xf>
    <xf numFmtId="4" fontId="2" fillId="2" borderId="18" xfId="0" applyNumberFormat="1" applyFont="1" applyFill="1" applyBorder="1" applyAlignment="1">
      <alignment horizontal="left"/>
    </xf>
    <xf numFmtId="4" fontId="2" fillId="2" borderId="19" xfId="0" applyNumberFormat="1" applyFont="1" applyFill="1" applyBorder="1" applyAlignment="1">
      <alignment horizontal="left"/>
    </xf>
    <xf numFmtId="0" fontId="2" fillId="2" borderId="14" xfId="0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right"/>
    </xf>
    <xf numFmtId="3" fontId="2" fillId="2" borderId="18" xfId="0" applyNumberFormat="1" applyFont="1" applyFill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3" fontId="6" fillId="0" borderId="21" xfId="0" applyNumberFormat="1" applyFont="1" applyBorder="1" applyAlignment="1">
      <alignment horizontal="left"/>
    </xf>
    <xf numFmtId="4" fontId="6" fillId="0" borderId="21" xfId="0" applyNumberFormat="1" applyFont="1" applyBorder="1" applyAlignment="1">
      <alignment horizontal="left"/>
    </xf>
    <xf numFmtId="0" fontId="1" fillId="4" borderId="22" xfId="0" applyFont="1" applyFill="1" applyBorder="1" applyAlignment="1">
      <alignment horizontal="left"/>
    </xf>
    <xf numFmtId="3" fontId="5" fillId="4" borderId="23" xfId="0" applyNumberFormat="1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3" fontId="1" fillId="0" borderId="21" xfId="0" applyNumberFormat="1" applyFont="1" applyBorder="1" applyAlignment="1">
      <alignment horizontal="right"/>
    </xf>
    <xf numFmtId="0" fontId="1" fillId="0" borderId="21" xfId="0" applyFont="1" applyBorder="1" applyAlignment="1">
      <alignment horizontal="left"/>
    </xf>
    <xf numFmtId="3" fontId="1" fillId="3" borderId="22" xfId="0" applyNumberFormat="1" applyFont="1" applyFill="1" applyBorder="1" applyAlignment="1">
      <alignment horizontal="center"/>
    </xf>
    <xf numFmtId="3" fontId="1" fillId="4" borderId="23" xfId="0" applyNumberFormat="1" applyFont="1" applyFill="1" applyBorder="1" applyAlignment="1">
      <alignment horizontal="left"/>
    </xf>
    <xf numFmtId="3" fontId="1" fillId="0" borderId="21" xfId="0" applyNumberFormat="1" applyFont="1" applyBorder="1" applyAlignment="1">
      <alignment horizontal="left"/>
    </xf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3" fontId="1" fillId="3" borderId="1" xfId="0" applyNumberFormat="1" applyFont="1" applyFill="1" applyBorder="1" applyAlignment="1">
      <alignment horizontal="center"/>
    </xf>
    <xf numFmtId="3" fontId="1" fillId="0" borderId="18" xfId="0" applyNumberFormat="1" applyFont="1" applyBorder="1" applyAlignment="1">
      <alignment horizontal="right"/>
    </xf>
    <xf numFmtId="3" fontId="0" fillId="0" borderId="18" xfId="0" applyNumberFormat="1" applyBorder="1"/>
    <xf numFmtId="3" fontId="1" fillId="0" borderId="0" xfId="0" applyNumberFormat="1" applyFont="1" applyAlignment="1">
      <alignment horizontal="right"/>
    </xf>
    <xf numFmtId="0" fontId="0" fillId="0" borderId="22" xfId="0" applyBorder="1"/>
    <xf numFmtId="10" fontId="1" fillId="0" borderId="0" xfId="2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9" fillId="0" borderId="0" xfId="3"/>
    <xf numFmtId="164" fontId="1" fillId="3" borderId="1" xfId="0" applyNumberFormat="1" applyFont="1" applyFill="1" applyBorder="1" applyAlignment="1">
      <alignment horizontal="center"/>
    </xf>
    <xf numFmtId="164" fontId="1" fillId="0" borderId="18" xfId="0" applyNumberFormat="1" applyFont="1" applyBorder="1" applyAlignment="1">
      <alignment horizontal="right"/>
    </xf>
    <xf numFmtId="164" fontId="0" fillId="0" borderId="18" xfId="0" applyNumberFormat="1" applyBorder="1"/>
    <xf numFmtId="164" fontId="5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165" fontId="1" fillId="3" borderId="1" xfId="0" applyNumberFormat="1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right"/>
    </xf>
    <xf numFmtId="165" fontId="0" fillId="0" borderId="18" xfId="0" applyNumberFormat="1" applyBorder="1"/>
    <xf numFmtId="165" fontId="5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/>
    <xf numFmtId="165" fontId="1" fillId="0" borderId="0" xfId="0" applyNumberFormat="1" applyFont="1" applyAlignment="1">
      <alignment horizontal="right"/>
    </xf>
  </cellXfs>
  <cellStyles count="4">
    <cellStyle name="Link" xfId="3" builtinId="8"/>
    <cellStyle name="Prozent" xfId="2" builtinId="5"/>
    <cellStyle name="Standard" xfId="0" builtinId="0"/>
    <cellStyle name="Standard 2" xfId="1" xr:uid="{AE9CC720-D17C-4832-B3B6-E1A4065FA019}"/>
  </cellStyles>
  <dxfs count="21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ucass.eu/doi/EUCASS2019-063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U8"/>
  <sheetViews>
    <sheetView zoomScaleNormal="100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C3" sqref="AC3"/>
    </sheetView>
  </sheetViews>
  <sheetFormatPr baseColWidth="10" defaultColWidth="8.85546875" defaultRowHeight="15" x14ac:dyDescent="0.25"/>
  <cols>
    <col min="1" max="1" width="45.28515625" bestFit="1" customWidth="1"/>
    <col min="2" max="2" width="4.5703125" style="38" bestFit="1" customWidth="1"/>
    <col min="3" max="3" width="6" style="63" bestFit="1" customWidth="1"/>
    <col min="4" max="4" width="5.140625" style="63" bestFit="1" customWidth="1"/>
    <col min="5" max="6" width="6" style="63" bestFit="1" customWidth="1"/>
    <col min="7" max="7" width="8.7109375" style="63" bestFit="1" customWidth="1"/>
    <col min="8" max="8" width="19.85546875" bestFit="1" customWidth="1"/>
    <col min="9" max="9" width="19.85546875" style="38" bestFit="1" customWidth="1"/>
    <col min="10" max="10" width="24.28515625" style="38" bestFit="1" customWidth="1"/>
    <col min="11" max="11" width="25.7109375" bestFit="1" customWidth="1"/>
    <col min="12" max="12" width="23.140625" bestFit="1" customWidth="1"/>
    <col min="13" max="13" width="10.7109375" style="38" bestFit="1" customWidth="1"/>
    <col min="14" max="14" width="17.28515625" bestFit="1" customWidth="1"/>
    <col min="15" max="15" width="22.140625" style="38" bestFit="1" customWidth="1"/>
    <col min="16" max="16" width="20.28515625" style="38" bestFit="1" customWidth="1"/>
    <col min="17" max="17" width="21.28515625" style="38" bestFit="1" customWidth="1"/>
    <col min="18" max="18" width="20.28515625" style="38" bestFit="1" customWidth="1"/>
    <col min="19" max="19" width="22.85546875" style="38" bestFit="1" customWidth="1"/>
    <col min="20" max="20" width="18.7109375" bestFit="1" customWidth="1"/>
    <col min="21" max="22" width="18.7109375" style="38" bestFit="1" customWidth="1"/>
    <col min="23" max="24" width="19.28515625" bestFit="1" customWidth="1"/>
    <col min="25" max="25" width="15.7109375" bestFit="1" customWidth="1"/>
    <col min="26" max="26" width="18.28515625" style="38" bestFit="1" customWidth="1"/>
    <col min="27" max="27" width="22.140625" style="38" bestFit="1" customWidth="1"/>
    <col min="28" max="28" width="20.28515625" style="38" bestFit="1" customWidth="1"/>
    <col min="29" max="29" width="21.28515625" style="38" bestFit="1" customWidth="1"/>
    <col min="30" max="30" width="20.28515625" style="38" bestFit="1" customWidth="1"/>
    <col min="31" max="31" width="18.85546875" bestFit="1" customWidth="1"/>
    <col min="32" max="33" width="18.85546875" style="38" bestFit="1" customWidth="1"/>
    <col min="34" max="35" width="19.140625" bestFit="1" customWidth="1"/>
    <col min="36" max="36" width="15.28515625" bestFit="1" customWidth="1"/>
    <col min="37" max="37" width="15.140625" style="38" bestFit="1" customWidth="1"/>
    <col min="38" max="38" width="17.140625" style="38" bestFit="1" customWidth="1"/>
    <col min="39" max="39" width="16.28515625" style="38" bestFit="1" customWidth="1"/>
    <col min="40" max="40" width="19.140625" style="38" bestFit="1" customWidth="1"/>
    <col min="41" max="41" width="11.42578125" style="38" bestFit="1" customWidth="1"/>
    <col min="42" max="44" width="15" bestFit="1" customWidth="1"/>
    <col min="45" max="46" width="16.85546875" bestFit="1" customWidth="1"/>
    <col min="47" max="47" width="15.42578125" bestFit="1" customWidth="1"/>
    <col min="48" max="52" width="11.42578125" bestFit="1" customWidth="1"/>
    <col min="53" max="55" width="19.140625" bestFit="1" customWidth="1"/>
    <col min="56" max="57" width="15.140625" bestFit="1" customWidth="1"/>
    <col min="58" max="58" width="14.7109375" bestFit="1" customWidth="1"/>
    <col min="59" max="64" width="13.5703125" bestFit="1" customWidth="1"/>
    <col min="65" max="65" width="13.5703125" style="64" bestFit="1" customWidth="1"/>
    <col min="66" max="66" width="13.5703125" style="65" bestFit="1" customWidth="1"/>
    <col min="67" max="67" width="13.5703125" style="63" bestFit="1" customWidth="1"/>
    <col min="68" max="70" width="13.5703125" style="30" bestFit="1" customWidth="1"/>
    <col min="71" max="71" width="13.5703125" bestFit="1" customWidth="1"/>
    <col min="72" max="72" width="13.5703125" style="30" bestFit="1" customWidth="1"/>
    <col min="73" max="73" width="13.5703125" bestFit="1" customWidth="1"/>
  </cols>
  <sheetData>
    <row r="1" spans="1:73" ht="20.25" customHeight="1" thickBot="1" x14ac:dyDescent="0.3">
      <c r="A1" s="20" t="s">
        <v>2</v>
      </c>
      <c r="B1" s="41" t="s">
        <v>42</v>
      </c>
      <c r="C1" s="42" t="s">
        <v>44</v>
      </c>
      <c r="D1" s="42" t="s">
        <v>46</v>
      </c>
      <c r="E1" s="42" t="s">
        <v>48</v>
      </c>
      <c r="F1" s="42" t="s">
        <v>50</v>
      </c>
      <c r="G1" s="43" t="s">
        <v>52</v>
      </c>
      <c r="H1" s="32" t="s">
        <v>97</v>
      </c>
      <c r="I1" s="21" t="s">
        <v>98</v>
      </c>
      <c r="J1" s="21" t="s">
        <v>99</v>
      </c>
      <c r="K1" s="32" t="s">
        <v>100</v>
      </c>
      <c r="L1" s="32" t="s">
        <v>101</v>
      </c>
      <c r="M1" s="21" t="s">
        <v>102</v>
      </c>
      <c r="N1" s="44" t="s">
        <v>103</v>
      </c>
      <c r="O1" s="21" t="s">
        <v>104</v>
      </c>
      <c r="P1" s="21" t="s">
        <v>105</v>
      </c>
      <c r="Q1" s="21" t="s">
        <v>106</v>
      </c>
      <c r="R1" s="21" t="s">
        <v>107</v>
      </c>
      <c r="S1" s="45" t="s">
        <v>6</v>
      </c>
      <c r="T1" s="32" t="s">
        <v>8</v>
      </c>
      <c r="U1" s="21" t="s">
        <v>11</v>
      </c>
      <c r="V1" s="21" t="s">
        <v>13</v>
      </c>
      <c r="W1" s="32" t="s">
        <v>15</v>
      </c>
      <c r="X1" s="32" t="s">
        <v>20</v>
      </c>
      <c r="Y1" s="32" t="s">
        <v>25</v>
      </c>
      <c r="Z1" s="46" t="s">
        <v>23</v>
      </c>
      <c r="AA1" s="21" t="s">
        <v>28</v>
      </c>
      <c r="AB1" s="21" t="s">
        <v>29</v>
      </c>
      <c r="AC1" s="21" t="s">
        <v>30</v>
      </c>
      <c r="AD1" s="21" t="s">
        <v>32</v>
      </c>
      <c r="AE1" s="20" t="s">
        <v>108</v>
      </c>
      <c r="AF1" s="21" t="s">
        <v>109</v>
      </c>
      <c r="AG1" s="21" t="s">
        <v>110</v>
      </c>
      <c r="AH1" s="32" t="s">
        <v>111</v>
      </c>
      <c r="AI1" s="32" t="s">
        <v>112</v>
      </c>
      <c r="AJ1" s="44" t="s">
        <v>113</v>
      </c>
      <c r="AK1" s="21" t="s">
        <v>114</v>
      </c>
      <c r="AL1" s="21" t="s">
        <v>115</v>
      </c>
      <c r="AM1" s="21" t="s">
        <v>116</v>
      </c>
      <c r="AN1" s="21" t="s">
        <v>117</v>
      </c>
      <c r="AO1" s="21" t="s">
        <v>118</v>
      </c>
      <c r="AP1" s="20" t="s">
        <v>119</v>
      </c>
      <c r="AQ1" s="32" t="s">
        <v>120</v>
      </c>
      <c r="AR1" s="32" t="s">
        <v>121</v>
      </c>
      <c r="AS1" s="32" t="s">
        <v>122</v>
      </c>
      <c r="AT1" s="32" t="s">
        <v>123</v>
      </c>
      <c r="AU1" s="32" t="s">
        <v>124</v>
      </c>
      <c r="AV1" s="32" t="s">
        <v>125</v>
      </c>
      <c r="AW1" s="32" t="s">
        <v>126</v>
      </c>
      <c r="AX1" s="32" t="s">
        <v>127</v>
      </c>
      <c r="AY1" s="32" t="s">
        <v>128</v>
      </c>
      <c r="AZ1" s="32" t="s">
        <v>129</v>
      </c>
      <c r="BA1" s="20" t="s">
        <v>130</v>
      </c>
      <c r="BB1" s="32" t="s">
        <v>131</v>
      </c>
      <c r="BC1" s="32" t="s">
        <v>132</v>
      </c>
      <c r="BD1" s="32" t="s">
        <v>133</v>
      </c>
      <c r="BE1" s="32" t="s">
        <v>134</v>
      </c>
      <c r="BF1" s="32" t="s">
        <v>135</v>
      </c>
      <c r="BG1" s="32" t="s">
        <v>136</v>
      </c>
      <c r="BH1" s="32" t="s">
        <v>137</v>
      </c>
      <c r="BI1" s="32" t="s">
        <v>138</v>
      </c>
      <c r="BJ1" s="32" t="s">
        <v>139</v>
      </c>
      <c r="BK1" s="32" t="s">
        <v>140</v>
      </c>
      <c r="BL1" s="33" t="s">
        <v>141</v>
      </c>
      <c r="BM1" s="47" t="s">
        <v>142</v>
      </c>
      <c r="BN1" s="48" t="s">
        <v>171</v>
      </c>
      <c r="BO1" s="39" t="s">
        <v>170</v>
      </c>
      <c r="BP1" s="2"/>
      <c r="BQ1" s="2"/>
      <c r="BR1" s="49"/>
      <c r="BS1" s="50" t="s">
        <v>172</v>
      </c>
      <c r="BT1" s="28"/>
      <c r="BU1" s="51"/>
    </row>
    <row r="2" spans="1:73" ht="15.75" thickBot="1" x14ac:dyDescent="0.3">
      <c r="A2" s="52" t="s">
        <v>163</v>
      </c>
      <c r="B2" s="53">
        <v>70</v>
      </c>
      <c r="C2" s="54">
        <v>3.7</v>
      </c>
      <c r="D2" s="54">
        <v>2.9</v>
      </c>
      <c r="E2" s="54">
        <v>1.8</v>
      </c>
      <c r="F2" s="54">
        <v>5.2</v>
      </c>
      <c r="G2" s="54">
        <f t="shared" ref="G2" si="0">PI()/4*F2^2</f>
        <v>21.237166338267002</v>
      </c>
      <c r="H2" s="70" t="s">
        <v>86</v>
      </c>
      <c r="I2" s="56">
        <f t="shared" ref="I2:I3" si="1">9*845000</f>
        <v>7605000</v>
      </c>
      <c r="J2" s="56">
        <f t="shared" ref="J2:J3" si="2">9*845000*(312/283)</f>
        <v>8384310.9540636046</v>
      </c>
      <c r="K2" s="57" t="s">
        <v>148</v>
      </c>
      <c r="L2" s="57" t="s">
        <v>149</v>
      </c>
      <c r="M2" s="58">
        <f>421300-25600</f>
        <v>395700</v>
      </c>
      <c r="N2" s="59" t="s">
        <v>150</v>
      </c>
      <c r="O2" s="59"/>
      <c r="P2" s="59"/>
      <c r="Q2" s="58">
        <v>25600</v>
      </c>
      <c r="R2" s="58">
        <v>162</v>
      </c>
      <c r="S2" s="60" t="b">
        <f>FALSE</f>
        <v>0</v>
      </c>
      <c r="T2" s="55" t="s">
        <v>84</v>
      </c>
      <c r="U2" s="61">
        <v>0</v>
      </c>
      <c r="V2" s="61">
        <v>0</v>
      </c>
      <c r="W2" s="57" t="s">
        <v>148</v>
      </c>
      <c r="X2" s="57" t="s">
        <v>149</v>
      </c>
      <c r="Y2" s="59" t="s">
        <v>150</v>
      </c>
      <c r="Z2" s="58">
        <v>9.9999999999999994E-12</v>
      </c>
      <c r="AA2" s="58"/>
      <c r="AB2" s="58"/>
      <c r="AC2" s="58">
        <v>9.9999999999999994E-12</v>
      </c>
      <c r="AD2" s="58">
        <v>9</v>
      </c>
      <c r="AE2" s="70" t="s">
        <v>84</v>
      </c>
      <c r="AF2" s="61">
        <v>981000</v>
      </c>
      <c r="AG2" s="61">
        <v>981000</v>
      </c>
      <c r="AH2" s="57" t="s">
        <v>148</v>
      </c>
      <c r="AI2" s="57" t="s">
        <v>149</v>
      </c>
      <c r="AJ2" s="59" t="s">
        <v>150</v>
      </c>
      <c r="AK2" s="58">
        <f t="shared" ref="AK2" si="3">96600-3900</f>
        <v>92700</v>
      </c>
      <c r="AL2" s="58"/>
      <c r="AM2" s="58"/>
      <c r="AN2" s="58">
        <v>3900</v>
      </c>
      <c r="AO2" s="58">
        <v>397</v>
      </c>
      <c r="AP2" s="55"/>
      <c r="AQ2" s="61"/>
      <c r="AR2" s="61"/>
      <c r="AS2" s="57"/>
      <c r="AT2" s="57"/>
      <c r="AU2" s="59"/>
      <c r="AV2" s="58"/>
      <c r="AW2" s="62"/>
      <c r="AX2" s="62"/>
      <c r="AY2" s="62"/>
      <c r="AZ2" s="62"/>
      <c r="BA2" s="55"/>
      <c r="BB2" s="61"/>
      <c r="BC2" s="61"/>
      <c r="BD2" s="57"/>
      <c r="BE2" s="57"/>
      <c r="BF2" s="58"/>
      <c r="BG2" s="58"/>
      <c r="BH2" s="58"/>
      <c r="BI2" s="58"/>
      <c r="BJ2" s="58"/>
      <c r="BK2" s="58"/>
      <c r="BL2" s="59"/>
      <c r="BM2" s="62">
        <v>549000</v>
      </c>
      <c r="BN2" s="69">
        <v>22800</v>
      </c>
      <c r="BO2" s="69">
        <f t="shared" ref="BO2" si="4">M2+Q2+Z2+AC2+AK2+AN2+AV2+AY2+BG2+BJ2</f>
        <v>517900</v>
      </c>
      <c r="BP2" s="69">
        <f t="shared" ref="BP2" si="5">BM2-BO2</f>
        <v>31100</v>
      </c>
      <c r="BQ2" s="71">
        <f t="shared" ref="BQ2" si="6">BP2/BO2</f>
        <v>6.0050202741842057E-2</v>
      </c>
      <c r="BR2" s="72">
        <f t="shared" ref="BR2" si="7">(I2/BO2+IF(S2=TRUE,U2/BO2,0))/9.81</f>
        <v>1.4968707429970363</v>
      </c>
      <c r="BS2" s="38">
        <f>M2+Z2+AK2+AV2+BG2</f>
        <v>488400</v>
      </c>
      <c r="BT2"/>
    </row>
    <row r="3" spans="1:73" ht="18.75" customHeight="1" thickBot="1" x14ac:dyDescent="0.3">
      <c r="A3" s="52" t="s">
        <v>167</v>
      </c>
      <c r="B3" s="53">
        <v>70</v>
      </c>
      <c r="C3" s="54">
        <v>3.7</v>
      </c>
      <c r="D3" s="54">
        <v>2.9</v>
      </c>
      <c r="E3" s="54">
        <v>1.8</v>
      </c>
      <c r="F3" s="54">
        <v>5.2</v>
      </c>
      <c r="G3" s="54">
        <f t="shared" ref="G3" si="8">PI()/4*F3^2</f>
        <v>21.237166338267002</v>
      </c>
      <c r="H3" s="55" t="s">
        <v>86</v>
      </c>
      <c r="I3" s="56">
        <f t="shared" si="1"/>
        <v>7605000</v>
      </c>
      <c r="J3" s="56">
        <f t="shared" si="2"/>
        <v>8384310.9540636046</v>
      </c>
      <c r="K3" s="57" t="s">
        <v>148</v>
      </c>
      <c r="L3" s="57" t="s">
        <v>149</v>
      </c>
      <c r="M3" s="58">
        <f>R3/R2*M2</f>
        <v>363946.29629629629</v>
      </c>
      <c r="N3" s="59" t="s">
        <v>150</v>
      </c>
      <c r="O3" s="58"/>
      <c r="P3" s="58"/>
      <c r="Q3" s="58">
        <f>Q2+M2*(1-R3/R2)</f>
        <v>57353.703703703708</v>
      </c>
      <c r="R3" s="58">
        <v>149</v>
      </c>
      <c r="S3" s="60" t="b">
        <v>0</v>
      </c>
      <c r="T3" s="55" t="s">
        <v>84</v>
      </c>
      <c r="U3" s="61">
        <v>0</v>
      </c>
      <c r="V3" s="61">
        <v>0</v>
      </c>
      <c r="W3" s="57" t="s">
        <v>148</v>
      </c>
      <c r="X3" s="57" t="s">
        <v>149</v>
      </c>
      <c r="Y3" s="59" t="s">
        <v>150</v>
      </c>
      <c r="Z3" s="58">
        <v>9.9999999999999994E-12</v>
      </c>
      <c r="AA3" s="58"/>
      <c r="AB3" s="58"/>
      <c r="AC3" s="58">
        <v>9.9999999999999994E-12</v>
      </c>
      <c r="AD3" s="58">
        <v>9</v>
      </c>
      <c r="AE3" s="70" t="s">
        <v>84</v>
      </c>
      <c r="AF3" s="61">
        <v>981000</v>
      </c>
      <c r="AG3" s="61">
        <v>981000</v>
      </c>
      <c r="AH3" s="57" t="s">
        <v>148</v>
      </c>
      <c r="AI3" s="57" t="s">
        <v>149</v>
      </c>
      <c r="AJ3" s="59" t="s">
        <v>150</v>
      </c>
      <c r="AK3" s="58">
        <f t="shared" ref="AK3" si="9">96600-3900</f>
        <v>92700</v>
      </c>
      <c r="AL3" s="58"/>
      <c r="AM3" s="58"/>
      <c r="AN3" s="58">
        <v>3900</v>
      </c>
      <c r="AO3" s="58">
        <v>397</v>
      </c>
      <c r="AP3" s="55"/>
      <c r="AQ3" s="61"/>
      <c r="AR3" s="61"/>
      <c r="AS3" s="57"/>
      <c r="AT3" s="57"/>
      <c r="AU3" s="59"/>
      <c r="AV3" s="58"/>
      <c r="AW3" s="62"/>
      <c r="AX3" s="62"/>
      <c r="AY3" s="62"/>
      <c r="AZ3" s="62"/>
      <c r="BA3" s="55"/>
      <c r="BB3" s="61"/>
      <c r="BC3" s="61"/>
      <c r="BD3" s="57"/>
      <c r="BE3" s="57"/>
      <c r="BF3" s="58"/>
      <c r="BG3" s="58"/>
      <c r="BH3" s="58"/>
      <c r="BI3" s="58"/>
      <c r="BJ3" s="58"/>
      <c r="BK3" s="58"/>
      <c r="BL3" s="59"/>
      <c r="BM3" s="62">
        <v>549000</v>
      </c>
      <c r="BN3" s="34"/>
      <c r="BO3" s="69">
        <f>M3+Q3+Z3+AC3+AK3+AN3+AV3+AY3+BG3+BJ3</f>
        <v>517900</v>
      </c>
      <c r="BP3" s="2"/>
      <c r="BQ3" s="2"/>
      <c r="BR3" s="2"/>
      <c r="BS3" s="38">
        <f>M3+Z3+AK3+AV3+BG3</f>
        <v>456646.29629629629</v>
      </c>
      <c r="BT3" s="2"/>
      <c r="BU3" s="51"/>
    </row>
    <row r="4" spans="1:73" ht="15.75" thickBot="1" x14ac:dyDescent="0.3">
      <c r="A4" s="52" t="s">
        <v>166</v>
      </c>
      <c r="B4" s="53">
        <v>52</v>
      </c>
      <c r="C4" s="54">
        <v>5.4</v>
      </c>
      <c r="D4" s="54">
        <v>7</v>
      </c>
      <c r="E4" s="54">
        <v>1</v>
      </c>
      <c r="F4" s="54">
        <v>5.4</v>
      </c>
      <c r="G4" s="54">
        <f>(F4^2+3^2*2)*PI()/4</f>
        <v>37.039377385823663</v>
      </c>
      <c r="H4" s="70" t="s">
        <v>94</v>
      </c>
      <c r="I4" s="56">
        <f>2*3500000</f>
        <v>7000000</v>
      </c>
      <c r="J4" s="56">
        <f>2*4600000</f>
        <v>9200000</v>
      </c>
      <c r="K4" s="57" t="s">
        <v>143</v>
      </c>
      <c r="L4" s="57" t="s">
        <v>144</v>
      </c>
      <c r="M4" s="58">
        <f>2*(151500-9500)</f>
        <v>284000</v>
      </c>
      <c r="N4" s="59" t="s">
        <v>156</v>
      </c>
      <c r="O4" s="59"/>
      <c r="P4" s="59"/>
      <c r="Q4" s="58">
        <f>2*9500</f>
        <v>19000</v>
      </c>
      <c r="R4" s="58">
        <v>138</v>
      </c>
      <c r="S4" s="60" t="b">
        <f>TRUE</f>
        <v>1</v>
      </c>
      <c r="T4" s="70" t="s">
        <v>95</v>
      </c>
      <c r="U4" s="61">
        <v>960000</v>
      </c>
      <c r="V4" s="61">
        <v>1371000</v>
      </c>
      <c r="W4" s="57" t="s">
        <v>145</v>
      </c>
      <c r="X4" s="57" t="s">
        <v>146</v>
      </c>
      <c r="Y4" s="59" t="s">
        <v>147</v>
      </c>
      <c r="Z4" s="58">
        <f>189000-14800</f>
        <v>174200</v>
      </c>
      <c r="AA4" s="58"/>
      <c r="AB4" s="58"/>
      <c r="AC4" s="58">
        <v>14800</v>
      </c>
      <c r="AD4" s="58">
        <v>465</v>
      </c>
      <c r="AE4" s="55" t="s">
        <v>96</v>
      </c>
      <c r="AF4" s="61">
        <v>180000</v>
      </c>
      <c r="AG4" s="61">
        <v>180000</v>
      </c>
      <c r="AH4" s="57" t="s">
        <v>145</v>
      </c>
      <c r="AI4" s="57" t="s">
        <v>146</v>
      </c>
      <c r="AJ4" t="s">
        <v>147</v>
      </c>
      <c r="AK4" s="38">
        <f>36500-5500</f>
        <v>31000</v>
      </c>
      <c r="AN4" s="38">
        <v>5500</v>
      </c>
      <c r="AO4" s="38">
        <v>760</v>
      </c>
      <c r="AP4" s="55"/>
      <c r="AQ4" s="61"/>
      <c r="AR4" s="61"/>
      <c r="AS4" s="57"/>
      <c r="AT4" s="57"/>
      <c r="AU4" s="59"/>
      <c r="AV4" s="58"/>
      <c r="AW4" s="62"/>
      <c r="AX4" s="62"/>
      <c r="AY4" s="62"/>
      <c r="AZ4" s="62"/>
      <c r="BA4" s="55"/>
      <c r="BB4" s="61"/>
      <c r="BC4" s="61"/>
      <c r="BD4" s="57"/>
      <c r="BE4" s="57"/>
      <c r="BF4" s="58"/>
      <c r="BG4" s="58"/>
      <c r="BH4" s="58"/>
      <c r="BI4" s="58"/>
      <c r="BJ4" s="58"/>
      <c r="BK4" s="58"/>
      <c r="BL4" s="59"/>
      <c r="BM4" s="62">
        <f>BM6-2*151500</f>
        <v>-303000</v>
      </c>
      <c r="BN4" s="69">
        <v>10350</v>
      </c>
      <c r="BO4" s="69">
        <f>M4+Q4+Z4+AC4+AK4+AN4+AV4+AY4+BG4+BJ4</f>
        <v>528500</v>
      </c>
      <c r="BP4" s="69">
        <f t="shared" ref="BP4" si="10">BM4-BO4</f>
        <v>-831500</v>
      </c>
      <c r="BQ4" s="71">
        <f t="shared" ref="BQ4" si="11">BP4/BO4</f>
        <v>-1.5733207190160832</v>
      </c>
      <c r="BR4" s="72">
        <f t="shared" ref="BR4" si="12">(I4/BO4+IF(S4=TRUE,U4/BO4,0))/9.81</f>
        <v>1.5353205704988924</v>
      </c>
      <c r="BS4" s="38">
        <f t="shared" ref="BS4:BS7" si="13">M4+Z4+AK4+AV4+BG4</f>
        <v>489200</v>
      </c>
      <c r="BT4"/>
    </row>
    <row r="5" spans="1:73" ht="15.75" thickBot="1" x14ac:dyDescent="0.3">
      <c r="A5" s="52" t="s">
        <v>164</v>
      </c>
      <c r="B5" s="53">
        <v>121.3</v>
      </c>
      <c r="C5" s="54">
        <v>9</v>
      </c>
      <c r="D5" s="54">
        <v>12.5</v>
      </c>
      <c r="E5" s="54">
        <v>1.6</v>
      </c>
      <c r="F5" s="54">
        <v>9</v>
      </c>
      <c r="G5" s="54">
        <f t="shared" ref="G5:G6" si="14">PI()/4*F5^2</f>
        <v>63.617251235193308</v>
      </c>
      <c r="H5" s="70" t="s">
        <v>153</v>
      </c>
      <c r="I5" s="56">
        <f t="shared" ref="I5:I8" si="15">33*2260000</f>
        <v>74580000</v>
      </c>
      <c r="J5" s="56">
        <f t="shared" ref="J5:J8" si="16">I5*347/327</f>
        <v>79141467.889908254</v>
      </c>
      <c r="K5" s="57" t="s">
        <v>151</v>
      </c>
      <c r="L5" s="57" t="s">
        <v>152</v>
      </c>
      <c r="M5" s="58">
        <v>3400000</v>
      </c>
      <c r="N5" s="59" t="s">
        <v>154</v>
      </c>
      <c r="O5" s="59"/>
      <c r="P5" s="59"/>
      <c r="Q5" s="58">
        <v>275000</v>
      </c>
      <c r="R5" s="58">
        <v>166</v>
      </c>
      <c r="S5" s="60" t="b">
        <f>FALSE</f>
        <v>0</v>
      </c>
      <c r="T5" s="55" t="s">
        <v>155</v>
      </c>
      <c r="U5" s="61">
        <f t="shared" ref="U5:U8" si="17">3*2260000</f>
        <v>6780000</v>
      </c>
      <c r="V5" s="56">
        <f>U5*347/327</f>
        <v>7194678.8990825685</v>
      </c>
      <c r="W5" s="57" t="s">
        <v>151</v>
      </c>
      <c r="X5" s="57" t="s">
        <v>152</v>
      </c>
      <c r="Y5" s="59" t="s">
        <v>154</v>
      </c>
      <c r="Z5" s="58">
        <v>9.9999999999999995E-7</v>
      </c>
      <c r="AA5" s="58"/>
      <c r="AB5" s="58"/>
      <c r="AC5" s="58">
        <v>9.9999999999999995E-7</v>
      </c>
      <c r="AD5" s="58">
        <v>10</v>
      </c>
      <c r="AE5" s="70" t="s">
        <v>155</v>
      </c>
      <c r="AF5" s="61">
        <f t="shared" ref="AF5:AF7" si="18">347/327*2260000*3+2530000*3</f>
        <v>14784678.899082568</v>
      </c>
      <c r="AG5" s="61">
        <f t="shared" ref="AG5:AG7" si="19">AF5</f>
        <v>14784678.899082568</v>
      </c>
      <c r="AH5" s="57" t="s">
        <v>151</v>
      </c>
      <c r="AI5" s="57" t="s">
        <v>152</v>
      </c>
      <c r="AJ5" s="59" t="s">
        <v>154</v>
      </c>
      <c r="AK5" s="58">
        <v>1200000</v>
      </c>
      <c r="AL5" s="58"/>
      <c r="AM5" s="58"/>
      <c r="AN5" s="58">
        <v>100000</v>
      </c>
      <c r="AO5" s="58">
        <v>390</v>
      </c>
      <c r="AP5" s="55"/>
      <c r="AQ5" s="61"/>
      <c r="AR5" s="61"/>
      <c r="AS5" s="57"/>
      <c r="AT5" s="57"/>
      <c r="AU5" s="59"/>
      <c r="AV5" s="58"/>
      <c r="AW5" s="62"/>
      <c r="AX5" s="62"/>
      <c r="AY5" s="62"/>
      <c r="AZ5" s="62"/>
      <c r="BA5" s="55"/>
      <c r="BB5" s="61"/>
      <c r="BC5" s="61"/>
      <c r="BD5" s="57"/>
      <c r="BE5" s="57"/>
      <c r="BF5" s="58"/>
      <c r="BG5" s="58"/>
      <c r="BH5" s="58"/>
      <c r="BI5" s="58"/>
      <c r="BJ5" s="58"/>
      <c r="BK5" s="58"/>
      <c r="BL5" s="59"/>
      <c r="BM5" s="62">
        <v>5000000</v>
      </c>
      <c r="BN5" s="69">
        <v>15000</v>
      </c>
      <c r="BO5" s="69">
        <f>M5+Q5+Z5+AC5+AK5+AN5+AV5+AY5+BG5+BJ5</f>
        <v>4975000.0000019995</v>
      </c>
      <c r="BP5" s="69">
        <f t="shared" ref="BP5" si="20">BM5-BO5</f>
        <v>24999.99999800045</v>
      </c>
      <c r="BQ5" s="71">
        <f t="shared" ref="BQ5" si="21">BP5/BO5</f>
        <v>5.0251256277367646E-3</v>
      </c>
      <c r="BR5" s="72">
        <f t="shared" ref="BR5" si="22">(I5/BO5+IF(S5=TRUE,U5/BO5,0))/9.81</f>
        <v>1.528129946367311</v>
      </c>
      <c r="BS5" s="38">
        <f t="shared" si="13"/>
        <v>4600000.0000010002</v>
      </c>
      <c r="BT5"/>
    </row>
    <row r="6" spans="1:73" ht="15.75" thickBot="1" x14ac:dyDescent="0.3">
      <c r="A6" s="52" t="s">
        <v>165</v>
      </c>
      <c r="B6" s="53">
        <v>121.3</v>
      </c>
      <c r="C6" s="54">
        <v>9</v>
      </c>
      <c r="D6" s="54">
        <v>12.5</v>
      </c>
      <c r="E6" s="54">
        <v>1.6</v>
      </c>
      <c r="F6" s="54">
        <v>9</v>
      </c>
      <c r="G6" s="54">
        <f t="shared" si="14"/>
        <v>63.617251235193308</v>
      </c>
      <c r="H6" s="70" t="s">
        <v>153</v>
      </c>
      <c r="I6" s="56">
        <f t="shared" si="15"/>
        <v>74580000</v>
      </c>
      <c r="J6" s="56">
        <f t="shared" si="16"/>
        <v>79141467.889908254</v>
      </c>
      <c r="K6" s="57" t="s">
        <v>151</v>
      </c>
      <c r="L6" s="57" t="s">
        <v>152</v>
      </c>
      <c r="M6" s="58">
        <f>R6/R5*M5</f>
        <v>3133734.9397590361</v>
      </c>
      <c r="N6" s="59" t="s">
        <v>154</v>
      </c>
      <c r="O6" s="59"/>
      <c r="P6" s="59"/>
      <c r="Q6" s="58">
        <f>Q5+M5*(1-R6/R5)</f>
        <v>541265.06024096371</v>
      </c>
      <c r="R6" s="58">
        <v>153</v>
      </c>
      <c r="S6" s="60" t="b">
        <f>FALSE</f>
        <v>0</v>
      </c>
      <c r="T6" s="55" t="s">
        <v>153</v>
      </c>
      <c r="U6" s="61">
        <f t="shared" si="17"/>
        <v>6780000</v>
      </c>
      <c r="V6" s="56">
        <f>U6*347/327</f>
        <v>7194678.8990825685</v>
      </c>
      <c r="W6" s="57" t="s">
        <v>151</v>
      </c>
      <c r="X6" s="57" t="s">
        <v>152</v>
      </c>
      <c r="Y6" s="59" t="s">
        <v>154</v>
      </c>
      <c r="Z6" s="58">
        <f>((M5/R5)/33)*3*AD6</f>
        <v>16757.940854326396</v>
      </c>
      <c r="AA6" s="58"/>
      <c r="AB6" s="58"/>
      <c r="AC6" s="58">
        <f>Q6-Z6</f>
        <v>524507.11938663735</v>
      </c>
      <c r="AD6" s="58">
        <v>9</v>
      </c>
      <c r="AE6" s="70" t="s">
        <v>155</v>
      </c>
      <c r="AF6" s="61">
        <f t="shared" si="18"/>
        <v>14784678.899082568</v>
      </c>
      <c r="AG6" s="61">
        <f t="shared" si="19"/>
        <v>14784678.899082568</v>
      </c>
      <c r="AH6" s="57" t="s">
        <v>151</v>
      </c>
      <c r="AI6" s="57" t="s">
        <v>152</v>
      </c>
      <c r="AJ6" s="59" t="s">
        <v>154</v>
      </c>
      <c r="AK6" s="58">
        <v>1200000</v>
      </c>
      <c r="AL6" s="58"/>
      <c r="AM6" s="58"/>
      <c r="AN6" s="58">
        <v>100000</v>
      </c>
      <c r="AO6" s="58">
        <v>390</v>
      </c>
      <c r="AP6" s="55"/>
      <c r="AQ6" s="61"/>
      <c r="AR6" s="61"/>
      <c r="AS6" s="57"/>
      <c r="AT6" s="57"/>
      <c r="AU6" s="59"/>
      <c r="AV6" s="58"/>
      <c r="AW6" s="62"/>
      <c r="AX6" s="62"/>
      <c r="AY6" s="62"/>
      <c r="AZ6" s="62"/>
      <c r="BA6" s="55"/>
      <c r="BB6" s="61"/>
      <c r="BC6" s="61"/>
      <c r="BD6" s="57"/>
      <c r="BE6" s="57"/>
      <c r="BF6" s="58"/>
      <c r="BG6" s="58"/>
      <c r="BH6" s="58"/>
      <c r="BI6" s="58"/>
      <c r="BJ6" s="58"/>
      <c r="BK6" s="58"/>
      <c r="BL6" s="59"/>
      <c r="BM6" s="62"/>
      <c r="BN6" s="69"/>
      <c r="BO6" s="69">
        <f>M6+Q6+Z6+AC6+AK6+AN6+AV6+AY6+BG6+BJ6</f>
        <v>5516265.0602409635</v>
      </c>
      <c r="BP6" s="69"/>
      <c r="BQ6" s="71"/>
      <c r="BR6" s="72"/>
      <c r="BS6" s="38">
        <f t="shared" si="13"/>
        <v>4350492.8806133624</v>
      </c>
      <c r="BT6"/>
    </row>
    <row r="7" spans="1:73" ht="15.75" thickBot="1" x14ac:dyDescent="0.3">
      <c r="A7" s="52" t="s">
        <v>168</v>
      </c>
      <c r="B7" s="53">
        <v>123.1</v>
      </c>
      <c r="C7" s="54">
        <v>9</v>
      </c>
      <c r="D7" s="54">
        <v>12.5</v>
      </c>
      <c r="E7" s="54">
        <v>1.6</v>
      </c>
      <c r="F7" s="54">
        <v>9</v>
      </c>
      <c r="G7" s="54">
        <f>PI()/4*F8^2+(2.44*4.88)*4*0.5</f>
        <v>87.4316512351933</v>
      </c>
      <c r="H7" s="70" t="s">
        <v>153</v>
      </c>
      <c r="I7" s="56">
        <f t="shared" si="15"/>
        <v>74580000</v>
      </c>
      <c r="J7" s="56">
        <f t="shared" si="16"/>
        <v>79141467.889908254</v>
      </c>
      <c r="K7" s="57" t="s">
        <v>151</v>
      </c>
      <c r="L7" s="57" t="s">
        <v>152</v>
      </c>
      <c r="M7" s="58">
        <v>3400000</v>
      </c>
      <c r="N7" s="59" t="s">
        <v>154</v>
      </c>
      <c r="O7" s="59"/>
      <c r="P7" s="59"/>
      <c r="Q7" s="58">
        <v>275000</v>
      </c>
      <c r="R7" s="58">
        <v>166</v>
      </c>
      <c r="S7" s="60" t="b">
        <f>FALSE</f>
        <v>0</v>
      </c>
      <c r="T7" s="55" t="s">
        <v>155</v>
      </c>
      <c r="U7" s="61">
        <f t="shared" si="17"/>
        <v>6780000</v>
      </c>
      <c r="V7" s="56">
        <f>U7*347/327</f>
        <v>7194678.8990825685</v>
      </c>
      <c r="W7" s="57" t="s">
        <v>151</v>
      </c>
      <c r="X7" s="57" t="s">
        <v>152</v>
      </c>
      <c r="Y7" s="59" t="s">
        <v>154</v>
      </c>
      <c r="Z7" s="58">
        <v>9.9999999999999995E-7</v>
      </c>
      <c r="AA7" s="58"/>
      <c r="AB7" s="58"/>
      <c r="AC7" s="58">
        <v>9.9999999999999995E-7</v>
      </c>
      <c r="AD7" s="58">
        <v>10</v>
      </c>
      <c r="AE7" s="70" t="s">
        <v>155</v>
      </c>
      <c r="AF7" s="61">
        <f t="shared" si="18"/>
        <v>14784678.899082568</v>
      </c>
      <c r="AG7" s="61">
        <f t="shared" si="19"/>
        <v>14784678.899082568</v>
      </c>
      <c r="AH7" s="57" t="s">
        <v>151</v>
      </c>
      <c r="AI7" s="57" t="s">
        <v>152</v>
      </c>
      <c r="AJ7" s="59" t="s">
        <v>154</v>
      </c>
      <c r="AK7" s="58">
        <v>1500000</v>
      </c>
      <c r="AL7" s="58"/>
      <c r="AM7" s="58"/>
      <c r="AN7" s="58">
        <v>85000</v>
      </c>
      <c r="AO7" s="58">
        <v>390</v>
      </c>
      <c r="BS7" s="38">
        <f t="shared" si="13"/>
        <v>4900000.0000010002</v>
      </c>
    </row>
    <row r="8" spans="1:73" ht="15.75" thickBot="1" x14ac:dyDescent="0.3">
      <c r="A8" s="52" t="s">
        <v>169</v>
      </c>
      <c r="B8" s="53">
        <v>123.1</v>
      </c>
      <c r="C8" s="54">
        <v>9</v>
      </c>
      <c r="D8" s="54">
        <v>12.5</v>
      </c>
      <c r="E8" s="54">
        <v>1.6</v>
      </c>
      <c r="F8" s="54">
        <v>9</v>
      </c>
      <c r="G8" s="54">
        <f>PI()/4*F8^2+(2.44*4.88)*4*0.5</f>
        <v>87.4316512351933</v>
      </c>
      <c r="H8" s="70" t="s">
        <v>153</v>
      </c>
      <c r="I8" s="56">
        <f t="shared" si="15"/>
        <v>74580000</v>
      </c>
      <c r="J8" s="56">
        <f t="shared" si="16"/>
        <v>79141467.889908254</v>
      </c>
      <c r="K8" s="57" t="s">
        <v>151</v>
      </c>
      <c r="L8" s="57" t="s">
        <v>152</v>
      </c>
      <c r="M8" s="58">
        <f>R8/R7*M7</f>
        <v>3133734.9397590361</v>
      </c>
      <c r="N8" s="59" t="s">
        <v>154</v>
      </c>
      <c r="O8" s="59"/>
      <c r="P8" s="59"/>
      <c r="Q8" s="58">
        <v>9.9999999999999995E-7</v>
      </c>
      <c r="R8" s="58">
        <v>153</v>
      </c>
      <c r="S8" s="60" t="b">
        <f>FALSE</f>
        <v>0</v>
      </c>
      <c r="T8" s="55" t="s">
        <v>153</v>
      </c>
      <c r="U8" s="61">
        <f t="shared" si="17"/>
        <v>6780000</v>
      </c>
      <c r="V8" s="56">
        <f t="shared" ref="V8" si="23">U8*347/327</f>
        <v>7194678.8990825685</v>
      </c>
      <c r="W8" s="57" t="s">
        <v>151</v>
      </c>
      <c r="X8" s="57" t="s">
        <v>152</v>
      </c>
      <c r="Y8" s="59" t="s">
        <v>154</v>
      </c>
      <c r="Z8" s="58">
        <f>((M7/R7)/33)*3*AD8</f>
        <v>13033.95399780942</v>
      </c>
      <c r="AA8" s="58"/>
      <c r="AB8" s="58"/>
      <c r="AC8" s="58">
        <v>9.9999999999999995E-7</v>
      </c>
      <c r="AD8" s="58">
        <v>7</v>
      </c>
      <c r="AE8" s="70" t="s">
        <v>153</v>
      </c>
      <c r="AF8" s="61">
        <f>2260000*3</f>
        <v>6780000</v>
      </c>
      <c r="AG8" s="61">
        <f>347/327*2260000*3</f>
        <v>7194678.8990825675</v>
      </c>
      <c r="AH8" s="57" t="s">
        <v>151</v>
      </c>
      <c r="AI8" s="57" t="s">
        <v>152</v>
      </c>
      <c r="AJ8" s="59" t="s">
        <v>154</v>
      </c>
      <c r="AK8" s="58">
        <f>((M7/R7)/33)*3*AO8+((AK7/AO7)/6)*6*AO8</f>
        <v>11416.29454882467</v>
      </c>
      <c r="AL8" s="58"/>
      <c r="AM8" s="58"/>
      <c r="AN8" s="58">
        <f>Q7+M7-(M8+Z8+(((M7/R7)/33)*3*AO8))</f>
        <v>524507.11938663758</v>
      </c>
      <c r="AO8" s="58">
        <v>2</v>
      </c>
      <c r="AP8" s="70" t="s">
        <v>155</v>
      </c>
      <c r="AQ8" s="61">
        <f>2260000*3+2530000*3</f>
        <v>14370000</v>
      </c>
      <c r="AR8" s="61">
        <f>347/327*2260000*3+2530000*3</f>
        <v>14784678.899082568</v>
      </c>
      <c r="AS8" s="57" t="s">
        <v>151</v>
      </c>
      <c r="AT8" s="57" t="s">
        <v>152</v>
      </c>
      <c r="AU8" s="59" t="s">
        <v>154</v>
      </c>
      <c r="AV8" s="58">
        <v>1500000</v>
      </c>
      <c r="AW8" s="58"/>
      <c r="AX8" s="58"/>
      <c r="AY8" s="2">
        <v>150000</v>
      </c>
      <c r="AZ8" s="58">
        <v>390</v>
      </c>
      <c r="BO8" s="69">
        <f>M8+Q8+Z8+AC8+AK8+AN8+AV8+AY8+BG8+BJ8</f>
        <v>5332692.3076943075</v>
      </c>
      <c r="BS8" s="38">
        <f>M8+Z8+AK8+AV8+BG8</f>
        <v>4658185.1883056704</v>
      </c>
    </row>
  </sheetData>
  <conditionalFormatting sqref="A3">
    <cfRule type="cellIs" dxfId="20" priority="51" operator="equal">
      <formula>0</formula>
    </cfRule>
  </conditionalFormatting>
  <conditionalFormatting sqref="A2:S2 AE2:BL2 I3:J3">
    <cfRule type="cellIs" dxfId="19" priority="79" operator="equal">
      <formula>0</formula>
    </cfRule>
  </conditionalFormatting>
  <conditionalFormatting sqref="A5:S8">
    <cfRule type="cellIs" dxfId="18" priority="13" operator="equal">
      <formula>0</formula>
    </cfRule>
  </conditionalFormatting>
  <conditionalFormatting sqref="A4:BL4">
    <cfRule type="cellIs" dxfId="17" priority="53" operator="equal">
      <formula>0</formula>
    </cfRule>
  </conditionalFormatting>
  <conditionalFormatting sqref="B2:S2 AE2:BK2 I3:J3">
    <cfRule type="containsBlanks" dxfId="16" priority="80">
      <formula>LEN(TRIM(B2))=0</formula>
    </cfRule>
  </conditionalFormatting>
  <conditionalFormatting sqref="B5:S8">
    <cfRule type="containsBlanks" dxfId="15" priority="14">
      <formula>LEN(TRIM(B5))=0</formula>
    </cfRule>
  </conditionalFormatting>
  <conditionalFormatting sqref="B4:BK4">
    <cfRule type="containsBlanks" dxfId="14" priority="54">
      <formula>LEN(TRIM(B4))=0</formula>
    </cfRule>
  </conditionalFormatting>
  <conditionalFormatting sqref="M3:N3 V5:V8 AC8 AL8:AZ8">
    <cfRule type="cellIs" dxfId="13" priority="65" operator="equal">
      <formula>0</formula>
    </cfRule>
    <cfRule type="containsBlanks" dxfId="12" priority="66">
      <formula>LEN(TRIM(M3))=0</formula>
    </cfRule>
  </conditionalFormatting>
  <conditionalFormatting sqref="Q3">
    <cfRule type="cellIs" dxfId="11" priority="67" operator="equal">
      <formula>0</formula>
    </cfRule>
    <cfRule type="containsBlanks" dxfId="10" priority="68">
      <formula>LEN(TRIM(Q3))=0</formula>
    </cfRule>
  </conditionalFormatting>
  <conditionalFormatting sqref="AE8:AJ8">
    <cfRule type="cellIs" dxfId="9" priority="5" operator="equal">
      <formula>0</formula>
    </cfRule>
    <cfRule type="containsBlanks" dxfId="8" priority="6">
      <formula>LEN(TRIM(AE8))=0</formula>
    </cfRule>
  </conditionalFormatting>
  <conditionalFormatting sqref="AE3:AO3">
    <cfRule type="cellIs" dxfId="7" priority="63" operator="equal">
      <formula>0</formula>
    </cfRule>
    <cfRule type="containsBlanks" dxfId="6" priority="64">
      <formula>LEN(TRIM(AE3))=0</formula>
    </cfRule>
  </conditionalFormatting>
  <conditionalFormatting sqref="AE7:AO7">
    <cfRule type="cellIs" dxfId="5" priority="38" operator="equal">
      <formula>0</formula>
    </cfRule>
    <cfRule type="containsBlanks" dxfId="4" priority="39">
      <formula>LEN(TRIM(AE7))=0</formula>
    </cfRule>
  </conditionalFormatting>
  <conditionalFormatting sqref="AE5:BL6">
    <cfRule type="cellIs" dxfId="3" priority="34" operator="equal">
      <formula>0</formula>
    </cfRule>
    <cfRule type="containsBlanks" dxfId="2" priority="35">
      <formula>LEN(TRIM(AE5))=0</formula>
    </cfRule>
  </conditionalFormatting>
  <conditionalFormatting sqref="BQ2">
    <cfRule type="cellIs" dxfId="1" priority="78" operator="greaterThan">
      <formula>0.1</formula>
    </cfRule>
  </conditionalFormatting>
  <conditionalFormatting sqref="BQ4:BQ6">
    <cfRule type="cellIs" dxfId="0" priority="52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22"/>
  <sheetViews>
    <sheetView tabSelected="1" topLeftCell="A3" workbookViewId="0">
      <selection activeCell="E7" sqref="E7"/>
    </sheetView>
  </sheetViews>
  <sheetFormatPr baseColWidth="10" defaultColWidth="8.85546875" defaultRowHeight="15" x14ac:dyDescent="0.25"/>
  <cols>
    <col min="1" max="1" width="17.42578125" customWidth="1"/>
    <col min="2" max="2" width="6" style="30" bestFit="1" customWidth="1"/>
    <col min="3" max="4" width="10.5703125" style="30" bestFit="1" customWidth="1"/>
    <col min="5" max="5" width="10.5703125" style="40" bestFit="1" customWidth="1"/>
    <col min="6" max="9" width="10.5703125" style="38" bestFit="1" customWidth="1"/>
    <col min="10" max="10" width="25.42578125" bestFit="1" customWidth="1"/>
  </cols>
  <sheetData>
    <row r="1" spans="1:10" ht="20.25" customHeight="1" x14ac:dyDescent="0.25">
      <c r="A1" s="20" t="s">
        <v>65</v>
      </c>
      <c r="B1" s="21" t="s">
        <v>37</v>
      </c>
      <c r="C1" s="21" t="s">
        <v>38</v>
      </c>
      <c r="D1" s="21" t="s">
        <v>66</v>
      </c>
      <c r="E1" s="32" t="s">
        <v>67</v>
      </c>
      <c r="F1" s="21" t="s">
        <v>68</v>
      </c>
      <c r="G1" s="21" t="s">
        <v>69</v>
      </c>
      <c r="H1" s="21" t="s">
        <v>70</v>
      </c>
      <c r="I1" s="21" t="s">
        <v>71</v>
      </c>
      <c r="J1" s="33" t="s">
        <v>72</v>
      </c>
    </row>
    <row r="2" spans="1:10" ht="19.5" customHeight="1" x14ac:dyDescent="0.25">
      <c r="A2" t="s">
        <v>90</v>
      </c>
      <c r="B2" s="2">
        <v>140</v>
      </c>
      <c r="C2" s="2">
        <v>100</v>
      </c>
      <c r="D2" s="2">
        <v>2</v>
      </c>
      <c r="E2" s="35" t="s">
        <v>73</v>
      </c>
      <c r="F2" s="2"/>
      <c r="G2" s="2"/>
      <c r="H2" s="2"/>
      <c r="I2" s="2"/>
      <c r="J2" t="s">
        <v>91</v>
      </c>
    </row>
    <row r="3" spans="1:10" ht="19.5" customHeight="1" x14ac:dyDescent="0.25">
      <c r="A3" t="s">
        <v>88</v>
      </c>
      <c r="B3" s="2">
        <v>70</v>
      </c>
      <c r="C3" s="2">
        <v>100</v>
      </c>
      <c r="D3" s="2">
        <v>2</v>
      </c>
      <c r="E3" s="35" t="s">
        <v>73</v>
      </c>
      <c r="F3" s="2"/>
      <c r="G3" s="2"/>
      <c r="H3" s="2"/>
      <c r="I3" s="2"/>
      <c r="J3" t="s">
        <v>89</v>
      </c>
    </row>
    <row r="4" spans="1:10" ht="19.5" customHeight="1" x14ac:dyDescent="0.25">
      <c r="A4" t="s">
        <v>92</v>
      </c>
      <c r="B4" s="2">
        <v>10</v>
      </c>
      <c r="C4" s="2">
        <v>70</v>
      </c>
      <c r="D4" s="2">
        <v>2</v>
      </c>
      <c r="E4" s="35" t="s">
        <v>73</v>
      </c>
      <c r="F4" s="2"/>
      <c r="G4" s="2"/>
      <c r="H4" s="2"/>
      <c r="I4" s="2"/>
      <c r="J4" t="s">
        <v>93</v>
      </c>
    </row>
    <row r="5" spans="1:10" ht="19.5" customHeight="1" x14ac:dyDescent="0.25">
      <c r="A5" t="s">
        <v>76</v>
      </c>
      <c r="B5" s="36">
        <v>40</v>
      </c>
      <c r="C5" s="2">
        <v>35</v>
      </c>
      <c r="D5" s="2">
        <v>2</v>
      </c>
      <c r="E5" s="35" t="s">
        <v>73</v>
      </c>
      <c r="F5" s="2"/>
      <c r="G5" s="2"/>
      <c r="H5" s="2"/>
      <c r="I5" s="2"/>
      <c r="J5" t="s">
        <v>77</v>
      </c>
    </row>
    <row r="6" spans="1:10" ht="19.5" customHeight="1" x14ac:dyDescent="0.25">
      <c r="A6" t="s">
        <v>86</v>
      </c>
      <c r="B6" s="2">
        <v>16</v>
      </c>
      <c r="C6" s="2">
        <v>97</v>
      </c>
      <c r="D6" s="2">
        <v>2</v>
      </c>
      <c r="E6" s="35" t="s">
        <v>73</v>
      </c>
      <c r="F6" s="81">
        <v>4.2767106842737095E-2</v>
      </c>
      <c r="G6" s="74">
        <v>0.3</v>
      </c>
      <c r="H6" s="74">
        <v>1.36</v>
      </c>
      <c r="I6" s="66">
        <v>200</v>
      </c>
      <c r="J6" t="s">
        <v>87</v>
      </c>
    </row>
    <row r="7" spans="1:10" ht="19.5" customHeight="1" x14ac:dyDescent="0.25">
      <c r="A7" t="s">
        <v>84</v>
      </c>
      <c r="B7" s="2">
        <v>165</v>
      </c>
      <c r="C7" s="2">
        <v>97</v>
      </c>
      <c r="D7" s="2">
        <v>2</v>
      </c>
      <c r="E7" s="35" t="s">
        <v>73</v>
      </c>
      <c r="F7" s="81">
        <v>4.2767106842737095E-2</v>
      </c>
      <c r="G7" s="74">
        <v>0.3</v>
      </c>
      <c r="H7" s="74">
        <v>1.36</v>
      </c>
      <c r="I7" s="66">
        <v>200</v>
      </c>
      <c r="J7" t="s">
        <v>85</v>
      </c>
    </row>
    <row r="8" spans="1:10" ht="19.5" customHeight="1" x14ac:dyDescent="0.25">
      <c r="A8" t="s">
        <v>80</v>
      </c>
      <c r="B8" s="2">
        <v>55</v>
      </c>
      <c r="C8" s="2">
        <v>9</v>
      </c>
      <c r="D8" s="2">
        <v>2</v>
      </c>
      <c r="E8" s="35" t="s">
        <v>73</v>
      </c>
      <c r="F8" s="82"/>
      <c r="G8" s="75"/>
      <c r="H8" s="75"/>
      <c r="I8" s="67"/>
      <c r="J8" t="s">
        <v>81</v>
      </c>
    </row>
    <row r="9" spans="1:10" ht="19.5" customHeight="1" x14ac:dyDescent="0.25">
      <c r="A9" t="s">
        <v>94</v>
      </c>
      <c r="B9" s="28">
        <v>14.71</v>
      </c>
      <c r="C9" s="28">
        <v>105</v>
      </c>
      <c r="D9" s="28">
        <v>2</v>
      </c>
      <c r="E9" s="37" t="s">
        <v>73</v>
      </c>
      <c r="F9" s="83"/>
      <c r="G9" s="76"/>
      <c r="H9" s="76"/>
      <c r="I9" s="68"/>
    </row>
    <row r="10" spans="1:10" ht="19.5" customHeight="1" x14ac:dyDescent="0.25">
      <c r="A10" t="s">
        <v>9</v>
      </c>
      <c r="B10" s="36">
        <v>11</v>
      </c>
      <c r="C10" s="36">
        <v>70</v>
      </c>
      <c r="D10" s="36">
        <v>2</v>
      </c>
      <c r="E10" s="35" t="s">
        <v>73</v>
      </c>
      <c r="F10" s="84"/>
      <c r="G10" s="77"/>
      <c r="H10" s="77"/>
      <c r="I10" s="36"/>
      <c r="J10" t="s">
        <v>75</v>
      </c>
    </row>
    <row r="11" spans="1:10" ht="19.5" customHeight="1" x14ac:dyDescent="0.25">
      <c r="A11" t="s">
        <v>78</v>
      </c>
      <c r="B11" s="2">
        <v>69</v>
      </c>
      <c r="C11" s="2">
        <v>206</v>
      </c>
      <c r="D11" s="2">
        <v>2</v>
      </c>
      <c r="E11" s="35" t="s">
        <v>73</v>
      </c>
      <c r="F11" s="85"/>
      <c r="G11" s="78"/>
      <c r="H11" s="78"/>
      <c r="I11" s="2"/>
      <c r="J11" t="s">
        <v>79</v>
      </c>
    </row>
    <row r="12" spans="1:10" ht="19.5" customHeight="1" x14ac:dyDescent="0.25">
      <c r="A12" t="s">
        <v>82</v>
      </c>
      <c r="B12" s="2">
        <v>8</v>
      </c>
      <c r="C12" s="2">
        <v>46</v>
      </c>
      <c r="D12" s="2">
        <v>2</v>
      </c>
      <c r="E12" s="35" t="s">
        <v>73</v>
      </c>
      <c r="F12" s="85"/>
      <c r="G12" s="78"/>
      <c r="H12" s="78"/>
      <c r="I12" s="2"/>
      <c r="J12" t="s">
        <v>83</v>
      </c>
    </row>
    <row r="13" spans="1:10" ht="18.75" customHeight="1" x14ac:dyDescent="0.25">
      <c r="A13" t="s">
        <v>96</v>
      </c>
      <c r="B13" s="28">
        <v>240</v>
      </c>
      <c r="C13" s="28">
        <v>60</v>
      </c>
      <c r="D13" s="28">
        <v>2</v>
      </c>
      <c r="E13" s="37" t="s">
        <v>73</v>
      </c>
      <c r="F13" s="86"/>
      <c r="G13" s="79"/>
      <c r="H13" s="79"/>
    </row>
    <row r="14" spans="1:10" ht="19.5" customHeight="1" x14ac:dyDescent="0.25">
      <c r="A14" t="s">
        <v>40</v>
      </c>
      <c r="B14" s="34">
        <v>58.2</v>
      </c>
      <c r="C14" s="2">
        <v>115</v>
      </c>
      <c r="D14" s="2">
        <v>2</v>
      </c>
      <c r="E14" s="35" t="s">
        <v>73</v>
      </c>
      <c r="F14" s="85"/>
      <c r="G14" s="78"/>
      <c r="H14" s="78"/>
      <c r="I14" s="2"/>
      <c r="J14" t="s">
        <v>74</v>
      </c>
    </row>
    <row r="15" spans="1:10" ht="18.75" customHeight="1" x14ac:dyDescent="0.25">
      <c r="A15" t="s">
        <v>95</v>
      </c>
      <c r="B15" s="28">
        <v>58.2</v>
      </c>
      <c r="C15" s="39">
        <v>118.8</v>
      </c>
      <c r="D15" s="2">
        <v>2</v>
      </c>
      <c r="E15" s="35" t="s">
        <v>173</v>
      </c>
      <c r="F15" s="87">
        <f>5/326</f>
        <v>1.5337423312883436E-2</v>
      </c>
      <c r="G15" s="80">
        <v>0.9</v>
      </c>
      <c r="H15" s="80">
        <v>2.2999999999999998</v>
      </c>
      <c r="I15" s="69">
        <v>130</v>
      </c>
      <c r="J15" s="73" t="s">
        <v>174</v>
      </c>
    </row>
    <row r="16" spans="1:10" x14ac:dyDescent="0.25">
      <c r="A16" t="s">
        <v>157</v>
      </c>
      <c r="B16" s="30">
        <v>11</v>
      </c>
      <c r="C16">
        <v>90.5</v>
      </c>
      <c r="D16"/>
      <c r="E16" s="35" t="s">
        <v>73</v>
      </c>
      <c r="F16"/>
      <c r="G16"/>
      <c r="H16"/>
      <c r="I16"/>
      <c r="J16" t="s">
        <v>158</v>
      </c>
    </row>
    <row r="17" spans="1:5" x14ac:dyDescent="0.25">
      <c r="A17" t="s">
        <v>153</v>
      </c>
      <c r="B17" s="30">
        <v>34.340000000000003</v>
      </c>
      <c r="C17" s="30">
        <v>350</v>
      </c>
      <c r="D17" s="30">
        <v>1.3</v>
      </c>
      <c r="E17" s="40" t="s">
        <v>73</v>
      </c>
    </row>
    <row r="18" spans="1:5" x14ac:dyDescent="0.25">
      <c r="A18" t="s">
        <v>155</v>
      </c>
      <c r="B18" s="30">
        <v>80</v>
      </c>
      <c r="C18" s="30">
        <v>350</v>
      </c>
      <c r="D18" s="30">
        <v>2.4</v>
      </c>
      <c r="E18" s="40" t="s">
        <v>73</v>
      </c>
    </row>
    <row r="19" spans="1:5" x14ac:dyDescent="0.25">
      <c r="A19" t="s">
        <v>159</v>
      </c>
      <c r="B19" s="30">
        <v>48</v>
      </c>
      <c r="C19">
        <v>177</v>
      </c>
      <c r="D19"/>
    </row>
    <row r="20" spans="1:5" x14ac:dyDescent="0.25">
      <c r="A20" t="s">
        <v>160</v>
      </c>
      <c r="B20">
        <v>35</v>
      </c>
      <c r="C20">
        <v>180</v>
      </c>
      <c r="D20">
        <v>1.3380000000000001</v>
      </c>
    </row>
    <row r="21" spans="1:5" x14ac:dyDescent="0.25">
      <c r="A21" t="s">
        <v>161</v>
      </c>
      <c r="B21">
        <v>88</v>
      </c>
      <c r="C21" s="30">
        <v>120</v>
      </c>
      <c r="D21"/>
    </row>
    <row r="22" spans="1:5" x14ac:dyDescent="0.25">
      <c r="A22" t="s">
        <v>162</v>
      </c>
      <c r="B22" s="30">
        <f>(69^2*PI()/4)/(9.5^2*PI()/4)</f>
        <v>52.75346260387812</v>
      </c>
      <c r="C22" s="30">
        <v>20.399999999999999</v>
      </c>
    </row>
  </sheetData>
  <autoFilter ref="A1:J1" xr:uid="{00000000-0001-0000-0100-000000000000}">
    <sortState xmlns:xlrd2="http://schemas.microsoft.com/office/spreadsheetml/2017/richdata2" ref="A2:J15">
      <sortCondition ref="A1"/>
    </sortState>
  </autoFilter>
  <hyperlinks>
    <hyperlink ref="J15" r:id="rId1" display="https://www.eucass.eu/doi/EUCASS2019-0639.pdf" xr:uid="{EB873721-07AA-4E33-B1D0-17C38A00A3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F40"/>
  <sheetViews>
    <sheetView workbookViewId="0"/>
  </sheetViews>
  <sheetFormatPr baseColWidth="10" defaultColWidth="8.85546875" defaultRowHeight="15" x14ac:dyDescent="0.25"/>
  <cols>
    <col min="1" max="1" width="13.5703125" bestFit="1" customWidth="1"/>
    <col min="2" max="2" width="30.42578125" style="1" bestFit="1" customWidth="1"/>
    <col min="3" max="3" width="14" style="30" bestFit="1" customWidth="1"/>
    <col min="4" max="4" width="14.85546875" style="30" bestFit="1" customWidth="1"/>
    <col min="5" max="5" width="11.7109375" bestFit="1" customWidth="1"/>
    <col min="6" max="6" width="29.140625" bestFit="1" customWidth="1"/>
  </cols>
  <sheetData>
    <row r="1" spans="2:6" ht="18.75" customHeight="1" x14ac:dyDescent="0.25">
      <c r="C1" s="2"/>
      <c r="D1" s="2"/>
    </row>
    <row r="2" spans="2:6" ht="18.75" customHeight="1" x14ac:dyDescent="0.25">
      <c r="B2" s="3" t="s">
        <v>0</v>
      </c>
      <c r="C2" s="2"/>
      <c r="D2" s="2"/>
      <c r="F2" s="4" t="s">
        <v>1</v>
      </c>
    </row>
    <row r="3" spans="2:6" ht="18.75" customHeight="1" x14ac:dyDescent="0.25">
      <c r="B3" s="5" t="s">
        <v>2</v>
      </c>
      <c r="C3" s="6" t="s">
        <v>3</v>
      </c>
      <c r="D3" s="7" t="s">
        <v>4</v>
      </c>
      <c r="F3" t="s">
        <v>5</v>
      </c>
    </row>
    <row r="4" spans="2:6" ht="18.75" customHeight="1" x14ac:dyDescent="0.25">
      <c r="B4" s="8" t="s">
        <v>6</v>
      </c>
      <c r="C4" s="9" t="b">
        <v>1</v>
      </c>
      <c r="D4" s="10" t="b">
        <v>1</v>
      </c>
      <c r="F4" t="s">
        <v>7</v>
      </c>
    </row>
    <row r="5" spans="2:6" ht="18.75" customHeight="1" x14ac:dyDescent="0.25">
      <c r="B5" s="11" t="s">
        <v>8</v>
      </c>
      <c r="C5" s="9" t="s">
        <v>9</v>
      </c>
      <c r="D5" s="10" t="s">
        <v>9</v>
      </c>
      <c r="F5" t="s">
        <v>10</v>
      </c>
    </row>
    <row r="6" spans="2:6" ht="18.75" customHeight="1" x14ac:dyDescent="0.25">
      <c r="B6" s="11" t="s">
        <v>11</v>
      </c>
      <c r="C6" s="9">
        <v>1390000</v>
      </c>
      <c r="D6" s="10">
        <v>1390000</v>
      </c>
      <c r="F6" t="s">
        <v>12</v>
      </c>
    </row>
    <row r="7" spans="2:6" ht="18.75" customHeight="1" x14ac:dyDescent="0.25">
      <c r="B7" s="11" t="s">
        <v>13</v>
      </c>
      <c r="C7" s="9">
        <v>1390000</v>
      </c>
      <c r="D7" s="10">
        <v>1390000</v>
      </c>
      <c r="F7" t="s">
        <v>14</v>
      </c>
    </row>
    <row r="8" spans="2:6" ht="18.75" customHeight="1" x14ac:dyDescent="0.25">
      <c r="B8" s="12" t="s">
        <v>15</v>
      </c>
      <c r="C8" s="9" t="s">
        <v>16</v>
      </c>
      <c r="D8" s="10" t="s">
        <v>17</v>
      </c>
      <c r="F8" t="s">
        <v>18</v>
      </c>
    </row>
    <row r="9" spans="2:6" ht="18.75" customHeight="1" x14ac:dyDescent="0.25">
      <c r="B9" s="12"/>
      <c r="C9" s="9"/>
      <c r="D9" s="10"/>
      <c r="F9" t="s">
        <v>19</v>
      </c>
    </row>
    <row r="10" spans="2:6" ht="18.75" customHeight="1" x14ac:dyDescent="0.25">
      <c r="B10" s="12" t="s">
        <v>20</v>
      </c>
      <c r="C10" s="9" t="s">
        <v>21</v>
      </c>
      <c r="D10" s="10" t="str">
        <f>"293/293"</f>
        <v>293/293</v>
      </c>
      <c r="F10" t="s">
        <v>22</v>
      </c>
    </row>
    <row r="11" spans="2:6" ht="18.75" customHeight="1" x14ac:dyDescent="0.25">
      <c r="B11" s="13" t="s">
        <v>23</v>
      </c>
      <c r="C11" s="14">
        <v>480450</v>
      </c>
      <c r="D11" s="15">
        <f>D13+D14</f>
        <v>167600</v>
      </c>
      <c r="F11" t="s">
        <v>24</v>
      </c>
    </row>
    <row r="12" spans="2:6" ht="18.75" customHeight="1" x14ac:dyDescent="0.25">
      <c r="B12" s="13" t="s">
        <v>25</v>
      </c>
      <c r="C12" s="14" t="s">
        <v>26</v>
      </c>
      <c r="D12" s="10"/>
      <c r="F12" t="s">
        <v>27</v>
      </c>
    </row>
    <row r="13" spans="2:6" ht="18.75" customHeight="1" x14ac:dyDescent="0.25">
      <c r="B13" s="13" t="s">
        <v>28</v>
      </c>
      <c r="C13" s="9"/>
      <c r="D13" s="15">
        <v>62100</v>
      </c>
    </row>
    <row r="14" spans="2:6" ht="18.75" customHeight="1" x14ac:dyDescent="0.25">
      <c r="B14" s="13" t="s">
        <v>29</v>
      </c>
      <c r="C14" s="9"/>
      <c r="D14" s="15">
        <v>105500</v>
      </c>
    </row>
    <row r="15" spans="2:6" ht="18.75" customHeight="1" x14ac:dyDescent="0.25">
      <c r="B15" s="13" t="s">
        <v>30</v>
      </c>
      <c r="C15" s="14">
        <v>76400</v>
      </c>
      <c r="D15" s="15">
        <v>17700</v>
      </c>
      <c r="F15" t="s">
        <v>31</v>
      </c>
    </row>
    <row r="16" spans="2:6" ht="18.75" customHeight="1" x14ac:dyDescent="0.25">
      <c r="B16" s="16" t="s">
        <v>32</v>
      </c>
      <c r="C16" s="17">
        <v>131.30000000000001</v>
      </c>
      <c r="D16" s="18">
        <v>205</v>
      </c>
      <c r="F16" t="s">
        <v>33</v>
      </c>
    </row>
    <row r="17" spans="2:6" ht="18.75" customHeight="1" x14ac:dyDescent="0.25">
      <c r="C17" s="2"/>
      <c r="D17" s="2"/>
    </row>
    <row r="18" spans="2:6" ht="18.75" customHeight="1" x14ac:dyDescent="0.25">
      <c r="C18" s="2"/>
      <c r="D18" s="2"/>
    </row>
    <row r="19" spans="2:6" ht="18.75" customHeight="1" x14ac:dyDescent="0.25">
      <c r="B19" s="19" t="s">
        <v>34</v>
      </c>
      <c r="C19" s="2"/>
      <c r="D19" s="2"/>
      <c r="F19" t="s">
        <v>35</v>
      </c>
    </row>
    <row r="20" spans="2:6" ht="18.75" customHeight="1" x14ac:dyDescent="0.25">
      <c r="B20" s="20" t="s">
        <v>36</v>
      </c>
      <c r="C20" s="21" t="s">
        <v>37</v>
      </c>
      <c r="D20" s="22" t="s">
        <v>38</v>
      </c>
      <c r="F20" t="s">
        <v>39</v>
      </c>
    </row>
    <row r="21" spans="2:6" ht="18.75" customHeight="1" x14ac:dyDescent="0.25">
      <c r="B21" s="23" t="s">
        <v>40</v>
      </c>
      <c r="C21" s="24">
        <v>58.2</v>
      </c>
      <c r="D21" s="25">
        <v>115</v>
      </c>
    </row>
    <row r="22" spans="2:6" ht="18.75" customHeight="1" x14ac:dyDescent="0.25">
      <c r="B22" s="26" t="s">
        <v>9</v>
      </c>
      <c r="C22" s="27">
        <v>10</v>
      </c>
      <c r="D22" s="18">
        <v>70</v>
      </c>
    </row>
    <row r="23" spans="2:6" ht="18.75" customHeight="1" x14ac:dyDescent="0.25">
      <c r="C23" s="28"/>
      <c r="D23" s="28"/>
    </row>
    <row r="24" spans="2:6" ht="18.75" customHeight="1" x14ac:dyDescent="0.25">
      <c r="C24" s="28"/>
      <c r="D24" s="28"/>
      <c r="F24" t="s">
        <v>41</v>
      </c>
    </row>
    <row r="25" spans="2:6" ht="18.75" customHeight="1" x14ac:dyDescent="0.25">
      <c r="B25" s="5" t="s">
        <v>42</v>
      </c>
      <c r="C25" s="28"/>
      <c r="D25" s="28"/>
      <c r="F25" t="s">
        <v>43</v>
      </c>
    </row>
    <row r="26" spans="2:6" ht="18.75" customHeight="1" x14ac:dyDescent="0.25">
      <c r="B26" s="13" t="s">
        <v>44</v>
      </c>
      <c r="C26" s="28"/>
      <c r="D26" s="28"/>
      <c r="F26" t="s">
        <v>45</v>
      </c>
    </row>
    <row r="27" spans="2:6" ht="18.75" customHeight="1" x14ac:dyDescent="0.25">
      <c r="B27" s="13" t="s">
        <v>46</v>
      </c>
      <c r="C27" s="28"/>
      <c r="D27" s="28"/>
      <c r="F27" t="s">
        <v>47</v>
      </c>
    </row>
    <row r="28" spans="2:6" ht="18.75" customHeight="1" x14ac:dyDescent="0.25">
      <c r="B28" s="13" t="s">
        <v>48</v>
      </c>
      <c r="C28" s="28"/>
      <c r="D28" s="28"/>
      <c r="F28" t="s">
        <v>49</v>
      </c>
    </row>
    <row r="29" spans="2:6" ht="18.75" customHeight="1" x14ac:dyDescent="0.25">
      <c r="B29" s="13" t="s">
        <v>50</v>
      </c>
      <c r="C29" s="28"/>
      <c r="D29" s="28"/>
      <c r="F29" t="s">
        <v>51</v>
      </c>
    </row>
    <row r="30" spans="2:6" ht="18.75" customHeight="1" x14ac:dyDescent="0.25">
      <c r="B30" s="16" t="s">
        <v>52</v>
      </c>
      <c r="C30" s="28"/>
      <c r="D30" s="28"/>
      <c r="F30" t="s">
        <v>53</v>
      </c>
    </row>
    <row r="31" spans="2:6" ht="18.75" customHeight="1" x14ac:dyDescent="0.25">
      <c r="C31" s="28"/>
      <c r="D31" s="28"/>
    </row>
    <row r="32" spans="2:6" ht="18.75" customHeight="1" x14ac:dyDescent="0.25">
      <c r="C32" s="28"/>
      <c r="D32" s="28"/>
    </row>
    <row r="33" spans="2:4" ht="18.75" customHeight="1" x14ac:dyDescent="0.25">
      <c r="B33" s="19" t="s">
        <v>54</v>
      </c>
      <c r="C33" s="29" t="s">
        <v>55</v>
      </c>
      <c r="D33" s="28"/>
    </row>
    <row r="34" spans="2:4" ht="18.75" customHeight="1" x14ac:dyDescent="0.25">
      <c r="B34" s="13" t="s">
        <v>56</v>
      </c>
      <c r="C34" s="30" t="s">
        <v>57</v>
      </c>
      <c r="D34" s="28"/>
    </row>
    <row r="35" spans="2:4" ht="18.75" customHeight="1" x14ac:dyDescent="0.25">
      <c r="B35" s="13" t="s">
        <v>58</v>
      </c>
      <c r="C35" s="31" t="s">
        <v>59</v>
      </c>
      <c r="D35" s="28"/>
    </row>
    <row r="36" spans="2:4" ht="18.75" customHeight="1" x14ac:dyDescent="0.25">
      <c r="B36" s="13" t="s">
        <v>60</v>
      </c>
      <c r="C36" s="28"/>
      <c r="D36" s="28"/>
    </row>
    <row r="37" spans="2:4" ht="18.75" customHeight="1" x14ac:dyDescent="0.25">
      <c r="B37" s="13" t="s">
        <v>61</v>
      </c>
      <c r="C37" s="28"/>
      <c r="D37" s="28"/>
    </row>
    <row r="38" spans="2:4" ht="18.75" customHeight="1" x14ac:dyDescent="0.25">
      <c r="B38" s="13" t="s">
        <v>62</v>
      </c>
      <c r="C38" s="28"/>
      <c r="D38" s="28"/>
    </row>
    <row r="39" spans="2:4" ht="18.75" customHeight="1" x14ac:dyDescent="0.25">
      <c r="B39" s="13" t="s">
        <v>63</v>
      </c>
      <c r="C39" s="28"/>
      <c r="D39" s="28"/>
    </row>
    <row r="40" spans="2:4" ht="18.75" customHeight="1" x14ac:dyDescent="0.25">
      <c r="B40" s="13" t="s">
        <v>64</v>
      </c>
      <c r="C40" s="28"/>
      <c r="D4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LV_Database</vt:lpstr>
      <vt:lpstr>Engine</vt:lpstr>
      <vt:lpstr>README - How to enter data</vt:lpstr>
      <vt:lpstr>LV_Database!_FilterDatenbank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Jan-Steffen Fischer</cp:lastModifiedBy>
  <dcterms:created xsi:type="dcterms:W3CDTF">2025-07-29T11:27:41Z</dcterms:created>
  <dcterms:modified xsi:type="dcterms:W3CDTF">2026-04-09T11:47:23Z</dcterms:modified>
</cp:coreProperties>
</file>